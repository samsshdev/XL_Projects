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770"/>
  </bookViews>
  <sheets>
    <sheet name="Dashboard" sheetId="3" r:id="rId1"/>
    <sheet name="Pivot Data" sheetId="2" r:id="rId2"/>
    <sheet name="Database" sheetId="1" r:id="rId3"/>
  </sheets>
  <definedNames>
    <definedName name="Slicer_Product_Name">#N/A</definedName>
    <definedName name="_xlnm.Print_Area" localSheetId="0">Dashboard!$A$1:$Y$35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<sst xmlns="http://schemas.openxmlformats.org/spreadsheetml/2006/main" count="421" uniqueCount="121">
  <si>
    <t>Shaheen Electronics, Ltd</t>
  </si>
  <si>
    <t>Monthly Report (Dec 25 - Jan 26)</t>
  </si>
  <si>
    <t>Detailed Analysis of Products &amp; Provinces by Revenue, Quantity, and Shares</t>
  </si>
  <si>
    <t>Net Analysis (Total Revenue, Quantity, and Shares)</t>
  </si>
  <si>
    <t>Punjab</t>
  </si>
  <si>
    <t>Sindh</t>
  </si>
  <si>
    <t>Balochistan</t>
  </si>
  <si>
    <t>Khyber</t>
  </si>
  <si>
    <t>Gilgit Baltistan</t>
  </si>
  <si>
    <t>Totals</t>
  </si>
  <si>
    <t>Provinces</t>
  </si>
  <si>
    <t>Revenue</t>
  </si>
  <si>
    <t>Gilgit</t>
  </si>
  <si>
    <t>Quantity</t>
  </si>
  <si>
    <t>Shares</t>
  </si>
  <si>
    <t>Province</t>
  </si>
  <si>
    <t>(ALL)</t>
  </si>
  <si>
    <t>Row Labels</t>
  </si>
  <si>
    <t>Sum of Total Price</t>
  </si>
  <si>
    <t>SanDisk 32 GB USB</t>
  </si>
  <si>
    <t>Grand Total</t>
  </si>
  <si>
    <t>Column Labels</t>
  </si>
  <si>
    <t>DDR5 16 GB RAM</t>
  </si>
  <si>
    <t>Dell Laptop</t>
  </si>
  <si>
    <t>HP Laptop</t>
  </si>
  <si>
    <t>Lenovo Laptop</t>
  </si>
  <si>
    <t>Samsung 32 inch LED</t>
  </si>
  <si>
    <t>Samsung Phone</t>
  </si>
  <si>
    <t>Vivo Phone</t>
  </si>
  <si>
    <t>Sum of Quantity</t>
  </si>
  <si>
    <t>Product Name</t>
  </si>
  <si>
    <t>Date</t>
  </si>
  <si>
    <t>Time</t>
  </si>
  <si>
    <t>Order ID</t>
  </si>
  <si>
    <t>City</t>
  </si>
  <si>
    <t>Unit Price</t>
  </si>
  <si>
    <t>Total Price</t>
  </si>
  <si>
    <t>Date Completion</t>
  </si>
  <si>
    <t>Delivered By</t>
  </si>
  <si>
    <t>Payment Type</t>
  </si>
  <si>
    <t>TX324853</t>
  </si>
  <si>
    <t>Quetta</t>
  </si>
  <si>
    <t>Usman Hanif</t>
  </si>
  <si>
    <t>Cash</t>
  </si>
  <si>
    <t>TX324854</t>
  </si>
  <si>
    <t>Muzaffargarh</t>
  </si>
  <si>
    <t>Ali Sheikh</t>
  </si>
  <si>
    <t>Jazzcash</t>
  </si>
  <si>
    <t>TX324855</t>
  </si>
  <si>
    <t>Vehari</t>
  </si>
  <si>
    <t>Imran Ali</t>
  </si>
  <si>
    <t>Bank</t>
  </si>
  <si>
    <t>TX324856</t>
  </si>
  <si>
    <t>Hyderabad</t>
  </si>
  <si>
    <t>Imran Saeed</t>
  </si>
  <si>
    <t>TX324857</t>
  </si>
  <si>
    <t>Sibbi</t>
  </si>
  <si>
    <t>Rana Bilawal</t>
  </si>
  <si>
    <t>Easypaisa</t>
  </si>
  <si>
    <t>TX324858</t>
  </si>
  <si>
    <t>Murree</t>
  </si>
  <si>
    <t>TX324859</t>
  </si>
  <si>
    <t>TX324860</t>
  </si>
  <si>
    <t>Faisalabad</t>
  </si>
  <si>
    <t>TX324861</t>
  </si>
  <si>
    <t>Karachi</t>
  </si>
  <si>
    <t>TX324862</t>
  </si>
  <si>
    <t>Chitral</t>
  </si>
  <si>
    <t>TX324863</t>
  </si>
  <si>
    <t>Qallat</t>
  </si>
  <si>
    <t>TX324864</t>
  </si>
  <si>
    <t>Pishawar</t>
  </si>
  <si>
    <t>TX324865</t>
  </si>
  <si>
    <t>TX324866</t>
  </si>
  <si>
    <t>Khairpur</t>
  </si>
  <si>
    <t>TX324867</t>
  </si>
  <si>
    <t>Nawshehra</t>
  </si>
  <si>
    <t>TX324868</t>
  </si>
  <si>
    <t>Khizdar</t>
  </si>
  <si>
    <t>TX324869</t>
  </si>
  <si>
    <t>Multan</t>
  </si>
  <si>
    <t>TX324870</t>
  </si>
  <si>
    <t>TX324871</t>
  </si>
  <si>
    <t>TX324872</t>
  </si>
  <si>
    <t>TX324873</t>
  </si>
  <si>
    <t>TX324874</t>
  </si>
  <si>
    <t>TX324875</t>
  </si>
  <si>
    <t>TX324876</t>
  </si>
  <si>
    <t>TX324877</t>
  </si>
  <si>
    <t>TX324878</t>
  </si>
  <si>
    <t>TX324879</t>
  </si>
  <si>
    <t>TX324880</t>
  </si>
  <si>
    <t>TX324881</t>
  </si>
  <si>
    <t>TX324882</t>
  </si>
  <si>
    <t>TX324883</t>
  </si>
  <si>
    <t>Jhang</t>
  </si>
  <si>
    <t>TX324884</t>
  </si>
  <si>
    <t>TX324885</t>
  </si>
  <si>
    <t>TX324886</t>
  </si>
  <si>
    <t>TX324887</t>
  </si>
  <si>
    <t>TX324888</t>
  </si>
  <si>
    <t>TX324889</t>
  </si>
  <si>
    <t>TX324890</t>
  </si>
  <si>
    <t>TX324891</t>
  </si>
  <si>
    <t>TX324892</t>
  </si>
  <si>
    <t>TX324893</t>
  </si>
  <si>
    <t>TX324894</t>
  </si>
  <si>
    <t>TX324895</t>
  </si>
  <si>
    <t>TX324896</t>
  </si>
  <si>
    <t>TX324897</t>
  </si>
  <si>
    <t>Lahore</t>
  </si>
  <si>
    <t>TX324898</t>
  </si>
  <si>
    <t>TX324899</t>
  </si>
  <si>
    <t>TX324900</t>
  </si>
  <si>
    <t>TX324901</t>
  </si>
  <si>
    <t>TX324902</t>
  </si>
  <si>
    <t>TX324903</t>
  </si>
  <si>
    <t>TX324904</t>
  </si>
  <si>
    <t>Bahawalpur</t>
  </si>
  <si>
    <t>TX324905</t>
  </si>
  <si>
    <t>Port Qasim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</si>
</sst>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400]h:mm:ss\ AM/PM"/>
    <numFmt numFmtId="179" formatCode="&quot;Rs&quot;#,##0;[Red]\-&quot;Rs&quot;#,##0"/>
    <numFmt numFmtId="180" formatCode="&quot;Rs&quot;\ \ #,##0"/>
    <numFmt numFmtId="181" formatCode="&quot;Rs&quot;\ #,##0;[Red]\-&quot;Rs&quot;#,##0"/>
  </numFmts>
  <fonts count="30">
    <font>
      <sz val="11"/>
      <color theme="1"/>
      <name val="Arial"/>
      <charset val="134"/>
    </font>
    <font>
      <b/>
      <sz val="11"/>
      <color theme="0"/>
      <name val="Product Sans"/>
      <charset val="134"/>
    </font>
    <font>
      <sz val="22"/>
      <color rgb="FFFFFF00"/>
      <name val="Times New Roman"/>
      <charset val="134"/>
    </font>
    <font>
      <b/>
      <sz val="11"/>
      <color theme="0"/>
      <name val="Arial"/>
      <charset val="134"/>
    </font>
    <font>
      <sz val="11"/>
      <color theme="0"/>
      <name val="Arial"/>
      <charset val="134"/>
    </font>
    <font>
      <b/>
      <sz val="12"/>
      <color theme="0"/>
      <name val="Aptos"/>
      <charset val="134"/>
    </font>
    <font>
      <b/>
      <sz val="12"/>
      <color rgb="FFFFFF00"/>
      <name val="Aptos"/>
      <charset val="134"/>
    </font>
    <font>
      <b/>
      <sz val="11"/>
      <color theme="0"/>
      <name val="Aptos"/>
      <charset val="134"/>
    </font>
    <font>
      <b/>
      <sz val="11"/>
      <color rgb="FFFFFF00"/>
      <name val="Aptos"/>
      <charset val="134"/>
    </font>
    <font>
      <sz val="11"/>
      <color rgb="FFFFFF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0C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FFFF00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FFFF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7">
    <xf numFmtId="0" fontId="0" fillId="0" borderId="0" xfId="0"/>
    <xf numFmtId="58" fontId="0" fillId="0" borderId="0" xfId="0" applyNumberFormat="1"/>
    <xf numFmtId="178" fontId="0" fillId="0" borderId="0" xfId="0" applyNumberFormat="1"/>
    <xf numFmtId="179" fontId="0" fillId="0" borderId="0" xfId="0" applyNumberFormat="1"/>
    <xf numFmtId="58" fontId="1" fillId="2" borderId="0" xfId="0" applyNumberFormat="1" applyFont="1" applyFill="1"/>
    <xf numFmtId="178" fontId="1" fillId="2" borderId="0" xfId="0" applyNumberFormat="1" applyFont="1" applyFill="1"/>
    <xf numFmtId="0" fontId="1" fillId="2" borderId="0" xfId="0" applyFont="1" applyFill="1"/>
    <xf numFmtId="179" fontId="1" fillId="2" borderId="0" xfId="0" applyNumberFormat="1" applyFont="1" applyFill="1"/>
    <xf numFmtId="0" fontId="0" fillId="0" borderId="0" xfId="0" applyAlignment="1">
      <alignment horizontal="left"/>
    </xf>
    <xf numFmtId="180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1" fontId="7" fillId="3" borderId="2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81" fontId="7" fillId="3" borderId="0" xfId="0" applyNumberFormat="1" applyFont="1" applyFill="1" applyAlignment="1">
      <alignment vertical="center"/>
    </xf>
    <xf numFmtId="181" fontId="8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/>
    <xf numFmtId="181" fontId="4" fillId="3" borderId="0" xfId="0" applyNumberFormat="1" applyFont="1" applyFill="1"/>
    <xf numFmtId="0" fontId="5" fillId="3" borderId="0" xfId="0" applyFont="1" applyFill="1" applyAlignment="1">
      <alignment vertic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/>
    <xf numFmtId="9" fontId="7" fillId="3" borderId="2" xfId="0" applyNumberFormat="1" applyFont="1" applyFill="1" applyBorder="1" applyAlignment="1">
      <alignment horizontal="center"/>
    </xf>
    <xf numFmtId="9" fontId="7" fillId="3" borderId="0" xfId="0" applyNumberFormat="1" applyFont="1" applyFill="1"/>
    <xf numFmtId="0" fontId="9" fillId="3" borderId="0" xfId="0" applyFont="1" applyFill="1"/>
    <xf numFmtId="0" fontId="8" fillId="3" borderId="3" xfId="0" applyFont="1" applyFill="1" applyBorder="1" applyAlignment="1">
      <alignment horizontal="center"/>
    </xf>
    <xf numFmtId="9" fontId="8" fillId="3" borderId="3" xfId="0" applyNumberFormat="1" applyFont="1" applyFill="1" applyBorder="1" applyAlignment="1">
      <alignment horizontal="center"/>
    </xf>
    <xf numFmtId="0" fontId="2" fillId="3" borderId="0" xfId="0" applyFont="1" applyFill="1" applyAlignment="1">
      <alignment vertical="center"/>
    </xf>
    <xf numFmtId="0" fontId="4" fillId="3" borderId="0" xfId="0" applyNumberFormat="1" applyFont="1" applyFill="1"/>
    <xf numFmtId="9" fontId="4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182" formatCode="&quot;Rs&quot;#,##0"/>
    </dxf>
    <dxf>
      <numFmt numFmtId="180" formatCode="&quot;Rs&quot;\ \ #,##0"/>
    </dxf>
    <dxf>
      <font>
        <name val="Times New Roman"/>
        <scheme val="none"/>
        <b val="1"/>
        <i val="0"/>
        <u val="none"/>
        <sz val="12"/>
        <color theme="0"/>
      </font>
    </dxf>
    <dxf>
      <font>
        <name val="Aptos"/>
        <scheme val="none"/>
        <b val="0"/>
        <i val="0"/>
        <u val="none"/>
        <sz val="11"/>
        <color rgb="FF333300"/>
      </font>
      <fill>
        <patternFill patternType="solid">
          <bgColor rgb="FF333300"/>
        </patternFill>
      </fill>
      <border>
        <left/>
        <right/>
        <top/>
        <bottom/>
        <vertical/>
        <horizontal/>
      </border>
    </dxf>
    <dxf>
      <font>
        <name val="Aptos"/>
        <scheme val="none"/>
        <b val="0"/>
        <i val="0"/>
        <u val="none"/>
        <sz val="11"/>
        <color theme="0"/>
      </font>
      <fill>
        <patternFill patternType="solid">
          <bgColor rgb="FF000C22"/>
        </patternFill>
      </fill>
      <border>
        <left/>
        <right/>
        <top/>
        <bottom/>
        <vertical/>
        <horizontal/>
      </border>
    </dxf>
  </dxfs>
  <tableStyles count="2" defaultTableStyle="TableStyleMedium2" defaultPivotStyle="PivotStyleLight16">
    <tableStyle name="Custom" pivot="0" table="0" count="4" xr9:uid="{B7DD1CCA-DF41-4171-8420-3BA496881544}">
      <tableStyleElement type="wholeTable" dxfId="3"/>
      <tableStyleElement type="headerRow" dxfId="2"/>
    </tableStyle>
    <tableStyle name="Slicer Style 1" pivot="0" table="0" count="3" xr9:uid="{2EEE85CA-4EA6-4415-89A7-473DDCB16AD8}">
      <tableStyleElement type="wholeTable" dxfId="4"/>
    </tableStyle>
  </tableStyles>
  <colors>
    <mruColors>
      <color rgb="00171E3A"/>
      <color rgb="007B3B18"/>
      <color rgb="00333300"/>
      <color rgb="00001234"/>
      <color rgb="00000C22"/>
    </mruColors>
  </colors>
  <extLst>
    <ext xmlns:x14="http://schemas.microsoft.com/office/spreadsheetml/2009/9/main" uri="{46F421CA-312F-682f-3DD2-61675219B42D}">
      <x14:dxfs count="4">
        <dxf>
          <font>
            <name val="Aptos"/>
            <scheme val="none"/>
            <b val="1"/>
            <i val="0"/>
            <u val="none"/>
            <sz val="11"/>
            <color theme="1"/>
          </font>
          <fill>
            <patternFill patternType="solid">
              <bgColor theme="7" tint="0.6"/>
            </patternFill>
          </fill>
          <border>
            <left/>
            <right/>
            <top/>
            <bottom/>
            <vertical/>
            <horizontal/>
          </border>
        </dxf>
        <dxf>
          <font>
            <name val="Aptos"/>
            <scheme val="none"/>
            <b val="0"/>
            <i val="0"/>
            <u val="none"/>
            <sz val="11"/>
            <color theme="0"/>
          </font>
        </dxf>
        <dxf>
          <font>
            <name val="Aptos"/>
            <scheme val="none"/>
            <b val="1"/>
            <i val="0"/>
            <u val="none"/>
            <sz val="11"/>
            <color rgb="FF171E3A"/>
          </font>
          <fill>
            <patternFill patternType="solid">
              <bgColor theme="7" tint="0.4"/>
            </patternFill>
          </fill>
        </dxf>
        <dxf>
          <border>
            <left/>
            <right/>
            <top/>
            <bottom style="thin">
              <color rgb="FFFFFF0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ustom">
          <x14:slicerStyleElements>
            <x14:slicerStyleElement type="unselectedItemWithData" dxfId="1"/>
            <x14:slicerStyleElement type="selectedItemWithData" dxfId="0"/>
          </x14:slicerStyleElements>
        </x14:slicerStyle>
        <x14:slicerStyle name="Slicer Style 1">
          <x14:slicerStyleElements>
            <x14:slicerStyleElement type="unselectedItemWithData" dxfId="3"/>
            <x14:slicerStyleElement type="selectedItemWithData" dxfId="2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  <a:r>
              <a:rPr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rPr>
              <a:t>Revenue</a:t>
            </a:r>
            <a:endParaRPr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Dashboard!$C$62</c:f>
              <c:strCache>
                <c:ptCount val="1"/>
                <c:pt idx="0">
                  <c:v>Revenue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Dashboard!$B$63:$B$67</c:f>
              <c:strCache>
                <c:ptCount val="5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Khyber</c:v>
                </c:pt>
                <c:pt idx="4">
                  <c:v>Gilgit</c:v>
                </c:pt>
              </c:strCache>
            </c:strRef>
          </c:cat>
          <c:val>
            <c:numRef>
              <c:f>Dashboard!$C$63:$C$67</c:f>
              <c:numCache>
                <c:formatCode>"Rs"\ #,##0;[Red]\-"Rs"#,##0</c:formatCode>
                <c:ptCount val="5"/>
                <c:pt idx="0">
                  <c:v>104500</c:v>
                </c:pt>
                <c:pt idx="1">
                  <c:v>0</c:v>
                </c:pt>
                <c:pt idx="2">
                  <c:v>114000</c:v>
                </c:pt>
                <c:pt idx="3">
                  <c:v>57000</c:v>
                </c:pt>
                <c:pt idx="4">
                  <c:v>44650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39539602"/>
        <c:axId val="418085988"/>
      </c:barChart>
      <c:catAx>
        <c:axId val="2395396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  <c:crossAx val="418085988"/>
        <c:crosses val="autoZero"/>
        <c:auto val="1"/>
        <c:lblAlgn val="ctr"/>
        <c:lblOffset val="100"/>
        <c:noMultiLvlLbl val="0"/>
      </c:catAx>
      <c:valAx>
        <c:axId val="418085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Rs&quot;\ #,##0;[Red]\-&quot;Rs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  <c:crossAx val="2395396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498f1e-264c-44c0-bed3-e9d4048e2fac}"/>
      </c:ext>
    </c:extLst>
  </c:chart>
  <c:spPr>
    <a:solidFill>
      <a:srgbClr val="000C22"/>
    </a:solidFill>
    <a:ln w="9525" cap="flat" cmpd="sng" algn="ctr">
      <a:solidFill>
        <a:srgbClr val="000C22"/>
      </a:solidFill>
      <a:round/>
    </a:ln>
    <a:effectLst/>
  </c:spPr>
  <c:txPr>
    <a:bodyPr/>
    <a:lstStyle/>
    <a:p>
      <a:pPr>
        <a:defRPr lang="en-US">
          <a:solidFill>
            <a:srgbClr val="FFFF00"/>
          </a:solidFill>
          <a:latin typeface="Aptos" panose="020B0004020202020204" charset="0"/>
          <a:ea typeface="Aptos" panose="020B0004020202020204" charset="0"/>
          <a:cs typeface="Aptos" panose="020B0004020202020204" charset="0"/>
          <a:sym typeface="Aptos" panose="020B000402020202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  <a:r>
              <a:rPr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rPr>
              <a:t>Quantities</a:t>
            </a:r>
            <a:endParaRPr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Dashboard!$C$69</c:f>
              <c:strCache>
                <c:ptCount val="1"/>
                <c:pt idx="0">
                  <c:v>Quantity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Dashboard!$B$70:$B$74</c:f>
              <c:strCache>
                <c:ptCount val="5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Khyber</c:v>
                </c:pt>
                <c:pt idx="4">
                  <c:v>Gilgit</c:v>
                </c:pt>
              </c:strCache>
            </c:strRef>
          </c:cat>
          <c:val>
            <c:numRef>
              <c:f>Dashboard!$C$70:$C$74</c:f>
              <c:numCache>
                <c:formatCode>General</c:formatCode>
                <c:ptCount val="5"/>
                <c:pt idx="0">
                  <c:v>110</c:v>
                </c:pt>
                <c:pt idx="1">
                  <c:v>0</c:v>
                </c:pt>
                <c:pt idx="2">
                  <c:v>120</c:v>
                </c:pt>
                <c:pt idx="3">
                  <c:v>60</c:v>
                </c:pt>
                <c:pt idx="4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78484549"/>
        <c:axId val="85235638"/>
      </c:barChart>
      <c:catAx>
        <c:axId val="7848454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  <c:crossAx val="85235638"/>
        <c:crosses val="autoZero"/>
        <c:auto val="1"/>
        <c:lblAlgn val="ctr"/>
        <c:lblOffset val="100"/>
        <c:noMultiLvlLbl val="0"/>
      </c:catAx>
      <c:valAx>
        <c:axId val="852356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  <c:crossAx val="7848454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bf271ba-9dcf-4c0b-97d3-2bb03cf6a846}"/>
      </c:ext>
    </c:extLst>
  </c:chart>
  <c:spPr>
    <a:solidFill>
      <a:srgbClr val="000C22"/>
    </a:solidFill>
    <a:ln w="9525" cap="flat" cmpd="sng" algn="ctr">
      <a:solidFill>
        <a:srgbClr val="000C22"/>
      </a:solidFill>
      <a:round/>
    </a:ln>
    <a:effectLst/>
  </c:spPr>
  <c:txPr>
    <a:bodyPr/>
    <a:lstStyle/>
    <a:p>
      <a:pPr>
        <a:defRPr lang="en-US">
          <a:solidFill>
            <a:srgbClr val="FFFF00"/>
          </a:solidFill>
          <a:latin typeface="Aptos" panose="020B0004020202020204" charset="0"/>
          <a:ea typeface="Aptos" panose="020B0004020202020204" charset="0"/>
          <a:cs typeface="Aptos" panose="020B0004020202020204" charset="0"/>
          <a:sym typeface="Aptos" panose="020B000402020202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  <a:r>
              <a:rPr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rPr>
              <a:t>Shares</a:t>
            </a:r>
            <a:endParaRPr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Dashboard!$C$76</c:f>
              <c:strCache>
                <c:ptCount val="1"/>
                <c:pt idx="0">
                  <c:v>Shares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elete val="1"/>
          </c:dLbls>
          <c:cat>
            <c:strRef>
              <c:f>Dashboard!$B$77:$B$81</c:f>
              <c:strCache>
                <c:ptCount val="5"/>
                <c:pt idx="0">
                  <c:v>Punjab</c:v>
                </c:pt>
                <c:pt idx="1">
                  <c:v>Sindh</c:v>
                </c:pt>
                <c:pt idx="2">
                  <c:v>Balochistan</c:v>
                </c:pt>
                <c:pt idx="3">
                  <c:v>Khyber</c:v>
                </c:pt>
                <c:pt idx="4">
                  <c:v>Gilgit</c:v>
                </c:pt>
              </c:strCache>
            </c:strRef>
          </c:cat>
          <c:val>
            <c:numRef>
              <c:f>Dashboard!$C$77:$C$81</c:f>
              <c:numCache>
                <c:formatCode>0%</c:formatCode>
                <c:ptCount val="5"/>
                <c:pt idx="0">
                  <c:v>0.326409495548961</c:v>
                </c:pt>
                <c:pt idx="1">
                  <c:v>0</c:v>
                </c:pt>
                <c:pt idx="2">
                  <c:v>0.356083086053413</c:v>
                </c:pt>
                <c:pt idx="3">
                  <c:v>0.178041543026706</c:v>
                </c:pt>
                <c:pt idx="4">
                  <c:v>0.13946587537092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FFFF00"/>
                </a:solidFill>
                <a:latin typeface="Aptos" panose="020B0004020202020204" charset="0"/>
                <a:ea typeface="Aptos" panose="020B0004020202020204" charset="0"/>
                <a:cs typeface="Aptos" panose="020B0004020202020204" charset="0"/>
                <a:sym typeface="Aptos" panose="020B00040202020202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rgbClr val="FFFF00"/>
              </a:solidFill>
              <a:latin typeface="Aptos" panose="020B0004020202020204" charset="0"/>
              <a:ea typeface="Aptos" panose="020B0004020202020204" charset="0"/>
              <a:cs typeface="Aptos" panose="020B0004020202020204" charset="0"/>
              <a:sym typeface="Aptos" panose="020B00040202020202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e522f5-1bd5-4241-abda-cb56dc896212}"/>
      </c:ext>
    </c:extLst>
  </c:chart>
  <c:spPr>
    <a:solidFill>
      <a:srgbClr val="000C22"/>
    </a:solidFill>
    <a:ln w="9525" cap="flat" cmpd="sng" algn="ctr">
      <a:solidFill>
        <a:srgbClr val="000C22"/>
      </a:solidFill>
      <a:round/>
    </a:ln>
    <a:effectLst/>
  </c:spPr>
  <c:txPr>
    <a:bodyPr/>
    <a:lstStyle/>
    <a:p>
      <a:pPr>
        <a:defRPr lang="en-US">
          <a:solidFill>
            <a:srgbClr val="FFFF00"/>
          </a:solidFill>
          <a:latin typeface="Aptos" panose="020B0004020202020204" charset="0"/>
          <a:ea typeface="Aptos" panose="020B0004020202020204" charset="0"/>
          <a:cs typeface="Aptos" panose="020B0004020202020204" charset="0"/>
          <a:sym typeface="Aptos" panose="020B00040202020202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479425</xdr:colOff>
      <xdr:row>4</xdr:row>
      <xdr:rowOff>12700</xdr:rowOff>
    </xdr:from>
    <xdr:to>
      <xdr:col>3</xdr:col>
      <xdr:colOff>342900</xdr:colOff>
      <xdr:row>19</xdr:row>
      <xdr:rowOff>34290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roduct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9425" y="1152525"/>
              <a:ext cx="1882140" cy="3155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85725</xdr:colOff>
      <xdr:row>20</xdr:row>
      <xdr:rowOff>142875</xdr:rowOff>
    </xdr:from>
    <xdr:to>
      <xdr:col>8</xdr:col>
      <xdr:colOff>414020</xdr:colOff>
      <xdr:row>33</xdr:row>
      <xdr:rowOff>29845</xdr:rowOff>
    </xdr:to>
    <xdr:graphicFrame>
      <xdr:nvGraphicFramePr>
        <xdr:cNvPr id="10" name="Chart 9"/>
        <xdr:cNvGraphicFramePr/>
      </xdr:nvGraphicFramePr>
      <xdr:xfrm>
        <a:off x="656590" y="4511675"/>
        <a:ext cx="4376420" cy="2344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431800</xdr:colOff>
      <xdr:row>20</xdr:row>
      <xdr:rowOff>142875</xdr:rowOff>
    </xdr:from>
    <xdr:to>
      <xdr:col>17</xdr:col>
      <xdr:colOff>264795</xdr:colOff>
      <xdr:row>33</xdr:row>
      <xdr:rowOff>29845</xdr:rowOff>
    </xdr:to>
    <xdr:graphicFrame>
      <xdr:nvGraphicFramePr>
        <xdr:cNvPr id="11" name="Chart 10"/>
        <xdr:cNvGraphicFramePr/>
      </xdr:nvGraphicFramePr>
      <xdr:xfrm>
        <a:off x="5050790" y="4511675"/>
        <a:ext cx="4376420" cy="2344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298450</xdr:colOff>
      <xdr:row>20</xdr:row>
      <xdr:rowOff>140335</xdr:rowOff>
    </xdr:from>
    <xdr:to>
      <xdr:col>24</xdr:col>
      <xdr:colOff>200025</xdr:colOff>
      <xdr:row>33</xdr:row>
      <xdr:rowOff>27305</xdr:rowOff>
    </xdr:to>
    <xdr:graphicFrame>
      <xdr:nvGraphicFramePr>
        <xdr:cNvPr id="12" name="Chart 11"/>
        <xdr:cNvGraphicFramePr/>
      </xdr:nvGraphicFramePr>
      <xdr:xfrm>
        <a:off x="9460865" y="4509135"/>
        <a:ext cx="3616325" cy="2344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47.8431032407" refreshedBy="saqib Rafeeq" recordCount="53">
  <cacheSource type="worksheet">
    <worksheetSource ref="A1:L54" sheet="Database"/>
  </cacheSource>
  <cacheFields count="12">
    <cacheField name="Date" numFmtId="58"/>
    <cacheField name="Time" numFmtId="178"/>
    <cacheField name="Product Name" numFmtId="0">
      <sharedItems count="8">
        <s v="Lenovo Laptop"/>
        <s v="Samsung Phone"/>
        <s v="SanDisk 32 GB USB"/>
        <s v="DDR5 16 GB RAM"/>
        <s v="Dell Laptop"/>
        <s v="Samsung 32 inch LED"/>
        <s v="HP Laptop"/>
        <s v="Vivo Phone"/>
      </sharedItems>
    </cacheField>
    <cacheField name="Order ID" numFmtId="0"/>
    <cacheField name="Province" numFmtId="0">
      <sharedItems count="5">
        <s v="Balochistan"/>
        <s v="Punjab"/>
        <s v="Sindh"/>
        <s v="Gilgit Baltistan"/>
        <s v="Khyber"/>
      </sharedItems>
    </cacheField>
    <cacheField name="City" numFmtId="0"/>
    <cacheField name="Quantity" numFmtId="0"/>
    <cacheField name="Unit Price" numFmtId="179"/>
    <cacheField name="Total Price" numFmtId="179"/>
    <cacheField name="Date Completion" numFmtId="58"/>
    <cacheField name="Delivered By" numFmtId="0"/>
    <cacheField name="Payment Type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">
  <r>
    <d v="2025-12-02T00:00:00"/>
    <d v="1899-12-30T12:56:00"/>
    <x v="0"/>
    <s v="TX324853"/>
    <x v="0"/>
    <s v="Quetta"/>
    <n v="1"/>
    <n v="76500"/>
    <n v="76500"/>
    <d v="2025-12-05T00:00:00"/>
    <s v="Usman Hanif"/>
    <s v="Cash"/>
  </r>
  <r>
    <d v="2025-12-02T00:00:00"/>
    <d v="1899-12-30T14:45:00"/>
    <x v="1"/>
    <s v="TX324854"/>
    <x v="1"/>
    <s v="Muzaffargarh"/>
    <n v="2"/>
    <n v="76000"/>
    <n v="152000"/>
    <d v="2025-12-04T00:00:00"/>
    <s v="Ali Sheikh"/>
    <s v="Jazzcash"/>
  </r>
  <r>
    <d v="2025-12-02T00:00:00"/>
    <d v="1899-12-30T14:56:00"/>
    <x v="2"/>
    <s v="TX324855"/>
    <x v="1"/>
    <s v="Vehari"/>
    <n v="70"/>
    <n v="950"/>
    <n v="66500"/>
    <d v="2025-12-06T00:00:00"/>
    <s v="Imran Ali"/>
    <s v="Bank"/>
  </r>
  <r>
    <d v="2025-12-02T00:00:00"/>
    <d v="1899-12-30T15:34:00"/>
    <x v="3"/>
    <s v="TX324856"/>
    <x v="2"/>
    <s v="Hyderabad"/>
    <n v="45"/>
    <n v="29000"/>
    <n v="1305000"/>
    <d v="2025-12-05T00:00:00"/>
    <s v="Imran Saeed"/>
    <s v="Bank"/>
  </r>
  <r>
    <d v="2025-12-02T00:00:00"/>
    <d v="1899-12-30T15:38:00"/>
    <x v="4"/>
    <s v="TX324857"/>
    <x v="0"/>
    <s v="Sibbi"/>
    <n v="1"/>
    <n v="94000"/>
    <n v="94000"/>
    <d v="2025-12-07T00:00:00"/>
    <s v="Rana Bilawal"/>
    <s v="Easypaisa"/>
  </r>
  <r>
    <d v="2025-12-02T00:00:00"/>
    <d v="1899-12-30T19:23:00"/>
    <x v="5"/>
    <s v="TX324858"/>
    <x v="1"/>
    <s v="Murree"/>
    <n v="2"/>
    <n v="36000"/>
    <n v="72000"/>
    <d v="2025-12-03T00:00:00"/>
    <s v="Ali Sheikh"/>
    <s v="Cash"/>
  </r>
  <r>
    <d v="2025-12-04T00:00:00"/>
    <d v="1899-12-30T10:34:00"/>
    <x v="0"/>
    <s v="TX324859"/>
    <x v="3"/>
    <s v="Gilgit"/>
    <n v="3"/>
    <n v="76500"/>
    <n v="229500"/>
    <d v="2025-12-08T00:00:00"/>
    <s v="Usman Hanif"/>
    <s v="Cash"/>
  </r>
  <r>
    <d v="2025-12-04T00:00:00"/>
    <d v="1899-12-30T11:56:00"/>
    <x v="3"/>
    <s v="TX324860"/>
    <x v="1"/>
    <s v="Faisalabad"/>
    <n v="6"/>
    <n v="29000"/>
    <n v="174000"/>
    <d v="2025-12-07T00:00:00"/>
    <s v="Ali Sheikh"/>
    <s v="Bank"/>
  </r>
  <r>
    <d v="2025-12-04T00:00:00"/>
    <d v="1899-12-30T15:36:00"/>
    <x v="1"/>
    <s v="TX324861"/>
    <x v="2"/>
    <s v="Karachi"/>
    <n v="5"/>
    <n v="76000"/>
    <n v="380000"/>
    <d v="2025-12-08T00:00:00"/>
    <s v="Imran Ali"/>
    <s v="Easypaisa"/>
  </r>
  <r>
    <d v="2025-12-05T00:00:00"/>
    <d v="1899-12-30T18:07:00"/>
    <x v="4"/>
    <s v="TX324862"/>
    <x v="1"/>
    <s v="Chitral"/>
    <n v="2"/>
    <n v="94000"/>
    <n v="188000"/>
    <d v="2025-12-09T00:00:00"/>
    <s v="Rana Bilawal"/>
    <s v="Cash"/>
  </r>
  <r>
    <d v="2025-12-05T00:00:00"/>
    <d v="1899-12-30T20:03:00"/>
    <x v="2"/>
    <s v="TX324863"/>
    <x v="0"/>
    <s v="Qallat"/>
    <n v="23"/>
    <n v="950"/>
    <n v="21850"/>
    <d v="2025-12-10T00:00:00"/>
    <s v="Usman Hanif"/>
    <s v="Jazzcash"/>
  </r>
  <r>
    <d v="2025-12-06T00:00:00"/>
    <d v="1899-12-30T09:32:00"/>
    <x v="5"/>
    <s v="TX324864"/>
    <x v="4"/>
    <s v="Pishawar"/>
    <n v="2"/>
    <n v="36000"/>
    <n v="72000"/>
    <d v="2025-12-09T00:00:00"/>
    <s v="Imran Saeed"/>
    <s v="Bank"/>
  </r>
  <r>
    <d v="2025-12-07T00:00:00"/>
    <d v="1899-12-30T16:34:00"/>
    <x v="6"/>
    <s v="TX324865"/>
    <x v="3"/>
    <s v="Gilgit"/>
    <n v="1"/>
    <n v="84000"/>
    <n v="84000"/>
    <d v="2025-12-10T00:00:00"/>
    <s v="Ali Sheikh"/>
    <s v="Bank"/>
  </r>
  <r>
    <d v="2025-12-07T00:00:00"/>
    <d v="1899-12-30T19:13:00"/>
    <x v="7"/>
    <s v="TX324866"/>
    <x v="2"/>
    <s v="Khairpur"/>
    <n v="2"/>
    <n v="53000"/>
    <n v="106000"/>
    <d v="2025-12-11T00:00:00"/>
    <s v="Imran Saeed"/>
    <s v="Jazzcash"/>
  </r>
  <r>
    <d v="2025-12-09T00:00:00"/>
    <d v="1899-12-30T10:25:00"/>
    <x v="2"/>
    <s v="TX324867"/>
    <x v="4"/>
    <s v="Nawshehra"/>
    <n v="60"/>
    <n v="950"/>
    <n v="57000"/>
    <d v="2025-12-12T00:00:00"/>
    <s v="Rana Bilawal"/>
    <s v="Bank"/>
  </r>
  <r>
    <d v="2025-12-09T00:00:00"/>
    <d v="1899-12-30T11:34:00"/>
    <x v="3"/>
    <s v="TX324868"/>
    <x v="0"/>
    <s v="Khizdar"/>
    <n v="13"/>
    <n v="29000"/>
    <n v="377000"/>
    <d v="2025-12-13T00:00:00"/>
    <s v="Ali Sheikh"/>
    <s v="Bank"/>
  </r>
  <r>
    <d v="2025-12-10T00:00:00"/>
    <d v="1899-12-30T19:23:00"/>
    <x v="0"/>
    <s v="TX324869"/>
    <x v="1"/>
    <s v="Multan"/>
    <n v="3"/>
    <n v="76500"/>
    <n v="229500"/>
    <d v="2025-12-14T00:00:00"/>
    <s v="Usman Hanif"/>
    <s v="Cash"/>
  </r>
  <r>
    <d v="2025-12-11T00:00:00"/>
    <d v="1899-12-30T10:34:00"/>
    <x v="3"/>
    <s v="TX324870"/>
    <x v="2"/>
    <s v="Hyderabad"/>
    <n v="4"/>
    <n v="29000"/>
    <n v="116000"/>
    <d v="2025-12-15T00:00:00"/>
    <s v="Ali Sheikh"/>
    <s v="Jazzcash"/>
  </r>
  <r>
    <d v="2025-12-12T00:00:00"/>
    <d v="1899-12-30T11:56:00"/>
    <x v="1"/>
    <s v="TX324871"/>
    <x v="0"/>
    <s v="Sibbi"/>
    <n v="1"/>
    <n v="76000"/>
    <n v="76000"/>
    <d v="2025-12-16T00:00:00"/>
    <s v="Imran Ali"/>
    <s v="Bank"/>
  </r>
  <r>
    <d v="2025-12-13T00:00:00"/>
    <d v="1899-12-30T15:36:00"/>
    <x v="4"/>
    <s v="TX324872"/>
    <x v="1"/>
    <s v="Muzaffargarh"/>
    <n v="3"/>
    <n v="94000"/>
    <n v="282000"/>
    <d v="2025-12-17T00:00:00"/>
    <s v="Imran Saeed"/>
    <s v="Bank"/>
  </r>
  <r>
    <d v="2025-12-14T00:00:00"/>
    <d v="1899-12-30T18:07:00"/>
    <x v="2"/>
    <s v="TX324873"/>
    <x v="3"/>
    <s v="Gilgit"/>
    <n v="23"/>
    <n v="950"/>
    <n v="21850"/>
    <d v="2025-12-18T00:00:00"/>
    <s v="Rana Bilawal"/>
    <s v="Easypaisa"/>
  </r>
  <r>
    <d v="2025-12-15T00:00:00"/>
    <d v="1899-12-30T20:03:00"/>
    <x v="5"/>
    <s v="TX324874"/>
    <x v="1"/>
    <s v="Murree"/>
    <n v="2"/>
    <n v="36000"/>
    <n v="72000"/>
    <d v="2025-12-19T00:00:00"/>
    <s v="Ali Sheikh"/>
    <s v="Cash"/>
  </r>
  <r>
    <d v="2025-12-16T00:00:00"/>
    <d v="1899-12-30T09:32:00"/>
    <x v="6"/>
    <s v="TX324875"/>
    <x v="2"/>
    <s v="Karachi"/>
    <n v="5"/>
    <n v="84000"/>
    <n v="420000"/>
    <d v="2025-12-20T00:00:00"/>
    <s v="Usman Hanif"/>
    <s v="Cash"/>
  </r>
  <r>
    <d v="2025-12-17T00:00:00"/>
    <d v="1899-12-30T16:34:00"/>
    <x v="7"/>
    <s v="TX324876"/>
    <x v="1"/>
    <s v="Multan"/>
    <n v="3"/>
    <n v="53000"/>
    <n v="159000"/>
    <d v="2025-12-21T00:00:00"/>
    <s v="Ali Sheikh"/>
    <s v="Bank"/>
  </r>
  <r>
    <d v="2025-12-18T00:00:00"/>
    <d v="1899-12-30T19:13:00"/>
    <x v="2"/>
    <s v="TX324877"/>
    <x v="0"/>
    <s v="Sibbi"/>
    <n v="35"/>
    <n v="950"/>
    <n v="33250"/>
    <d v="2025-12-22T00:00:00"/>
    <s v="Imran Ali"/>
    <s v="Easypaisa"/>
  </r>
  <r>
    <d v="2025-12-19T00:00:00"/>
    <d v="1899-12-30T10:25:00"/>
    <x v="3"/>
    <s v="TX324878"/>
    <x v="4"/>
    <s v="Pishawar"/>
    <n v="12"/>
    <n v="29000"/>
    <n v="348000"/>
    <d v="2025-12-23T00:00:00"/>
    <s v="Rana Bilawal"/>
    <s v="Cash"/>
  </r>
  <r>
    <d v="2025-12-20T00:00:00"/>
    <d v="1899-12-30T11:34:00"/>
    <x v="0"/>
    <s v="TX324879"/>
    <x v="3"/>
    <s v="Gilgit"/>
    <n v="5"/>
    <n v="76500"/>
    <n v="382500"/>
    <d v="2025-12-24T00:00:00"/>
    <s v="Usman Hanif"/>
    <s v="Jazzcash"/>
  </r>
  <r>
    <d v="2025-12-21T00:00:00"/>
    <d v="1899-12-30T19:23:00"/>
    <x v="3"/>
    <s v="TX324880"/>
    <x v="2"/>
    <s v="Hyderabad"/>
    <n v="7"/>
    <n v="29000"/>
    <n v="203000"/>
    <d v="2025-12-25T00:00:00"/>
    <s v="Imran Saeed"/>
    <s v="Bank"/>
  </r>
  <r>
    <d v="2025-12-22T00:00:00"/>
    <d v="1899-12-30T10:34:00"/>
    <x v="1"/>
    <s v="TX324881"/>
    <x v="0"/>
    <s v="Khizdar"/>
    <n v="6"/>
    <n v="76000"/>
    <n v="456000"/>
    <d v="2025-12-26T00:00:00"/>
    <s v="Ali Sheikh"/>
    <s v="Bank"/>
  </r>
  <r>
    <d v="2025-12-23T00:00:00"/>
    <d v="1899-12-30T11:56:00"/>
    <x v="4"/>
    <s v="TX324882"/>
    <x v="0"/>
    <s v="Qallat"/>
    <n v="10"/>
    <n v="94000"/>
    <n v="940000"/>
    <d v="2025-12-27T00:00:00"/>
    <s v="Imran Saeed"/>
    <s v="Jazzcash"/>
  </r>
  <r>
    <d v="2025-12-24T00:00:00"/>
    <d v="1899-12-30T15:36:00"/>
    <x v="2"/>
    <s v="TX324883"/>
    <x v="1"/>
    <s v="Jhang"/>
    <n v="40"/>
    <n v="950"/>
    <n v="38000"/>
    <d v="2025-12-28T00:00:00"/>
    <s v="Rana Bilawal"/>
    <s v="Bank"/>
  </r>
  <r>
    <d v="2025-12-25T00:00:00"/>
    <d v="1899-12-30T18:07:00"/>
    <x v="5"/>
    <s v="TX324884"/>
    <x v="2"/>
    <s v="Hyderabad"/>
    <n v="5"/>
    <n v="36000"/>
    <n v="180000"/>
    <d v="2025-12-29T00:00:00"/>
    <s v="Ali Sheikh"/>
    <s v="Bank"/>
  </r>
  <r>
    <d v="2025-12-26T00:00:00"/>
    <d v="1899-12-30T20:03:00"/>
    <x v="6"/>
    <s v="TX324885"/>
    <x v="0"/>
    <s v="Quetta"/>
    <n v="6"/>
    <n v="84000"/>
    <n v="504000"/>
    <d v="2025-12-30T00:00:00"/>
    <s v="Usman Hanif"/>
    <s v="Cash"/>
  </r>
  <r>
    <d v="2025-12-27T00:00:00"/>
    <d v="1899-12-30T09:32:00"/>
    <x v="7"/>
    <s v="TX324886"/>
    <x v="1"/>
    <s v="Faisalabad"/>
    <n v="5"/>
    <n v="53000"/>
    <n v="265000"/>
    <d v="2025-12-31T00:00:00"/>
    <s v="Ali Sheikh"/>
    <s v="Jazzcash"/>
  </r>
  <r>
    <d v="2025-12-28T00:00:00"/>
    <d v="1899-12-30T16:34:00"/>
    <x v="2"/>
    <s v="TX324887"/>
    <x v="3"/>
    <s v="Gilgit"/>
    <n v="24"/>
    <n v="950"/>
    <n v="22800"/>
    <d v="2026-01-01T00:00:00"/>
    <s v="Imran Ali"/>
    <s v="Bank"/>
  </r>
  <r>
    <d v="2025-12-29T00:00:00"/>
    <d v="1899-12-30T19:13:00"/>
    <x v="3"/>
    <s v="TX324888"/>
    <x v="1"/>
    <s v="Muzaffargarh"/>
    <n v="7"/>
    <n v="29000"/>
    <n v="203000"/>
    <d v="2026-01-02T00:00:00"/>
    <s v="Imran Saeed"/>
    <s v="Bank"/>
  </r>
  <r>
    <d v="2025-12-30T00:00:00"/>
    <d v="1899-12-30T10:25:00"/>
    <x v="0"/>
    <s v="TX324889"/>
    <x v="2"/>
    <s v="Karachi"/>
    <n v="5"/>
    <n v="76500"/>
    <n v="382500"/>
    <d v="2026-01-03T00:00:00"/>
    <s v="Rana Bilawal"/>
    <s v="Easypaisa"/>
  </r>
  <r>
    <d v="2025-12-31T00:00:00"/>
    <d v="1899-12-30T11:34:00"/>
    <x v="3"/>
    <s v="TX324890"/>
    <x v="1"/>
    <s v="Jhang"/>
    <n v="9"/>
    <n v="29000"/>
    <n v="261000"/>
    <d v="2026-01-04T00:00:00"/>
    <s v="Ali Sheikh"/>
    <s v="Cash"/>
  </r>
  <r>
    <d v="2026-01-01T00:00:00"/>
    <d v="1899-12-30T19:23:00"/>
    <x v="1"/>
    <s v="TX324891"/>
    <x v="0"/>
    <s v="Sibbi"/>
    <n v="4"/>
    <n v="76000"/>
    <n v="304000"/>
    <d v="2026-01-05T00:00:00"/>
    <s v="Usman Hanif"/>
    <s v="Cash"/>
  </r>
  <r>
    <d v="2026-01-02T00:00:00"/>
    <d v="1899-12-30T10:34:00"/>
    <x v="4"/>
    <s v="TX324892"/>
    <x v="4"/>
    <s v="Pishawar"/>
    <n v="7"/>
    <n v="94000"/>
    <n v="658000"/>
    <d v="2026-01-06T00:00:00"/>
    <s v="Ali Sheikh"/>
    <s v="Bank"/>
  </r>
  <r>
    <d v="2026-01-03T00:00:00"/>
    <d v="1899-12-30T11:56:00"/>
    <x v="5"/>
    <s v="TX324893"/>
    <x v="3"/>
    <s v="Gilgit"/>
    <n v="4"/>
    <n v="36000"/>
    <n v="144000"/>
    <d v="2026-01-07T00:00:00"/>
    <s v="Imran Ali"/>
    <s v="Easypaisa"/>
  </r>
  <r>
    <d v="2026-01-04T00:00:00"/>
    <d v="1899-12-30T15:36:00"/>
    <x v="6"/>
    <s v="TX324894"/>
    <x v="2"/>
    <s v="Hyderabad"/>
    <n v="2"/>
    <n v="84000"/>
    <n v="168000"/>
    <d v="2026-01-08T00:00:00"/>
    <s v="Rana Bilawal"/>
    <s v="Cash"/>
  </r>
  <r>
    <d v="2026-01-05T00:00:00"/>
    <d v="1899-12-30T18:07:00"/>
    <x v="7"/>
    <s v="TX324895"/>
    <x v="4"/>
    <s v="Pishawar"/>
    <n v="6"/>
    <n v="53000"/>
    <n v="318000"/>
    <d v="2026-01-09T00:00:00"/>
    <s v="Usman Hanif"/>
    <s v="Jazzcash"/>
  </r>
  <r>
    <d v="2026-01-06T00:00:00"/>
    <d v="1899-12-30T20:03:00"/>
    <x v="2"/>
    <s v="TX324896"/>
    <x v="0"/>
    <s v="Quetta"/>
    <n v="50"/>
    <n v="950"/>
    <n v="47500"/>
    <d v="2026-01-10T00:00:00"/>
    <s v="Imran Saeed"/>
    <s v="Bank"/>
  </r>
  <r>
    <d v="2026-01-07T00:00:00"/>
    <d v="1899-12-30T09:32:00"/>
    <x v="3"/>
    <s v="TX324897"/>
    <x v="1"/>
    <s v="Lahore"/>
    <n v="20"/>
    <n v="29000"/>
    <n v="580000"/>
    <d v="2026-01-11T00:00:00"/>
    <s v="Ali Sheikh"/>
    <s v="Bank"/>
  </r>
  <r>
    <d v="2026-01-08T00:00:00"/>
    <d v="1899-12-30T16:34:00"/>
    <x v="0"/>
    <s v="TX324898"/>
    <x v="2"/>
    <s v="Karachi"/>
    <n v="12"/>
    <n v="76000"/>
    <n v="912000"/>
    <d v="2026-01-12T00:00:00"/>
    <s v="Imran Saeed"/>
    <s v="Jazzcash"/>
  </r>
  <r>
    <d v="2026-01-09T00:00:00"/>
    <d v="1899-12-30T19:13:00"/>
    <x v="3"/>
    <s v="TX324899"/>
    <x v="0"/>
    <s v="Qallat"/>
    <n v="10"/>
    <n v="29000"/>
    <n v="290000"/>
    <d v="2026-01-13T00:00:00"/>
    <s v="Rana Bilawal"/>
    <s v="Bank"/>
  </r>
  <r>
    <d v="2026-01-10T00:00:00"/>
    <d v="1899-12-30T10:25:00"/>
    <x v="1"/>
    <s v="TX324900"/>
    <x v="1"/>
    <s v="Lahore"/>
    <n v="5"/>
    <n v="76000"/>
    <n v="380000"/>
    <d v="2026-01-14T00:00:00"/>
    <s v="Ali Sheikh"/>
    <s v="Bank"/>
  </r>
  <r>
    <d v="2026-01-11T00:00:00"/>
    <d v="1899-12-30T11:34:00"/>
    <x v="4"/>
    <s v="TX324901"/>
    <x v="3"/>
    <s v="Gilgit"/>
    <n v="8"/>
    <n v="94000"/>
    <n v="752000"/>
    <d v="2026-01-15T00:00:00"/>
    <s v="Usman Hanif"/>
    <s v="Cash"/>
  </r>
  <r>
    <d v="2026-01-12T00:00:00"/>
    <d v="1899-12-30T19:23:00"/>
    <x v="5"/>
    <s v="TX324902"/>
    <x v="1"/>
    <s v="Murree"/>
    <n v="3"/>
    <n v="36000"/>
    <n v="108000"/>
    <d v="2026-01-16T00:00:00"/>
    <s v="Ali Sheikh"/>
    <s v="Jazzcash"/>
  </r>
  <r>
    <d v="2026-01-13T00:00:00"/>
    <d v="1899-12-30T10:34:00"/>
    <x v="6"/>
    <s v="TX324903"/>
    <x v="2"/>
    <s v="Hyderabad"/>
    <n v="5"/>
    <n v="84000"/>
    <n v="420000"/>
    <d v="2026-01-17T00:00:00"/>
    <s v="Imran Ali"/>
    <s v="Bank"/>
  </r>
  <r>
    <d v="2026-01-14T00:00:00"/>
    <d v="1899-12-30T11:56:00"/>
    <x v="7"/>
    <s v="TX324904"/>
    <x v="1"/>
    <s v="Bahawalpur"/>
    <n v="7"/>
    <n v="53000"/>
    <n v="371000"/>
    <d v="2026-01-18T00:00:00"/>
    <s v="Imran Saeed"/>
    <s v="Bank"/>
  </r>
  <r>
    <d v="2026-01-15T00:00:00"/>
    <d v="1899-12-30T15:36:00"/>
    <x v="2"/>
    <s v="TX324905"/>
    <x v="0"/>
    <s v="Port Qasim"/>
    <n v="12"/>
    <n v="950"/>
    <n v="11400"/>
    <d v="2026-01-19T00:00:00"/>
    <s v="Rana Bilawal"/>
    <s v="Easypai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8:G18" firstHeaderRow="1" firstDataRow="2" firstDataCol="1"/>
  <pivotFields count="12">
    <pivotField numFmtId="58" showAll="0"/>
    <pivotField numFmtId="178" showAll="0"/>
    <pivotField axis="axisRow" showAll="0">
      <items count="9">
        <item x="3"/>
        <item x="4"/>
        <item x="6"/>
        <item x="0"/>
        <item x="5"/>
        <item x="1"/>
        <item x="2"/>
        <item x="7"/>
        <item t="default"/>
      </items>
    </pivotField>
    <pivotField showAll="0"/>
    <pivotField axis="axisCol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numFmtId="179" showAll="0"/>
    <pivotField dataField="1" numFmtId="179" showAll="0"/>
    <pivotField numFmtId="58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>
  <location ref="A3:B5" firstHeaderRow="1" firstDataRow="1" firstDataCol="1" rowPageCount="1" colPageCount="1"/>
  <pivotFields count="12">
    <pivotField numFmtId="58" showAll="0"/>
    <pivotField numFmtId="178" showAll="0"/>
    <pivotField axis="axisRow" showAll="0">
      <items count="9">
        <item h="1" x="3"/>
        <item h="1" x="4"/>
        <item h="1" x="6"/>
        <item h="1" x="0"/>
        <item h="1" x="5"/>
        <item h="1" x="1"/>
        <item x="2"/>
        <item h="1" x="7"/>
        <item t="default"/>
      </items>
    </pivotField>
    <pivotField showAll="0"/>
    <pivotField axis="axisPage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numFmtId="179" showAll="0"/>
    <pivotField dataField="1" numFmtId="179" showAll="0"/>
    <pivotField numFmtId="58" showAll="0"/>
    <pivotField showAll="0"/>
    <pivotField showAll="0"/>
  </pivotFields>
  <rowFields count="1">
    <field x="2"/>
  </rowFields>
  <rowItems count="2">
    <i>
      <x v="6"/>
    </i>
    <i t="grand">
      <x/>
    </i>
  </rowItems>
  <colItems count="1">
    <i/>
  </colItems>
  <pageFields count="1">
    <pageField fld="4"/>
  </pageFields>
  <dataFields count="1">
    <dataField name="Sum of Total Price" fld="8" baseField="0" baseItem="0"/>
  </dataFields>
  <formats count="2">
    <format dxfId="0">
      <pivotArea grandRow="1" outline="0" collapsedLevelsAreSubtotals="1" fieldPosition="0"/>
    </format>
    <format dxfId="1">
      <pivotArea grandRow="1"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indent="0" outline="1" compactData="0" outlineData="1" showDrill="1" multipleFieldFilters="0">
  <location ref="A21:G31" firstHeaderRow="1" firstDataRow="2" firstDataCol="1"/>
  <pivotFields count="12">
    <pivotField compact="0" numFmtId="58" showAll="0"/>
    <pivotField compact="0" numFmtId="178" showAll="0"/>
    <pivotField axis="axisRow" compact="0" showAll="0">
      <items count="9">
        <item x="3"/>
        <item x="4"/>
        <item x="6"/>
        <item x="0"/>
        <item x="5"/>
        <item x="1"/>
        <item x="2"/>
        <item x="7"/>
        <item t="default"/>
      </items>
    </pivotField>
    <pivotField compact="0" showAll="0"/>
    <pivotField axis="axisCol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numFmtId="179" showAll="0"/>
    <pivotField compact="0" numFmtId="179" showAll="0"/>
    <pivotField compact="0" numFmtId="58" showAll="0"/>
    <pivotField compact="0" showAll="0"/>
    <pivotField compact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Quantity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compact="0" indent="0" outline="1" compactData="0" outlineData="1" showDrill="1" multipleFieldFilters="0">
  <location ref="A34:G44" firstHeaderRow="1" firstDataRow="2" firstDataCol="1"/>
  <pivotFields count="12">
    <pivotField compact="0" numFmtId="58" showAll="0"/>
    <pivotField compact="0" numFmtId="178" showAll="0"/>
    <pivotField axis="axisRow" compact="0" showAll="0">
      <items count="9">
        <item x="3"/>
        <item x="4"/>
        <item x="6"/>
        <item x="0"/>
        <item x="5"/>
        <item x="1"/>
        <item x="2"/>
        <item x="7"/>
        <item t="default"/>
      </items>
    </pivotField>
    <pivotField compact="0" showAll="0"/>
    <pivotField axis="axisCol" compact="0" showAll="0">
      <items count="6">
        <item x="0"/>
        <item x="3"/>
        <item x="4"/>
        <item x="1"/>
        <item x="2"/>
        <item t="default"/>
      </items>
    </pivotField>
    <pivotField compact="0" showAll="0"/>
    <pivotField compact="0" showAll="0"/>
    <pivotField compact="0" numFmtId="179" showAll="0"/>
    <pivotField dataField="1" compact="0" numFmtId="179" showAll="0"/>
    <pivotField compact="0" numFmtId="58" showAll="0"/>
    <pivotField compact="0" showAll="0"/>
    <pivotField compact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Price" fld="8" showDataAs="percentOfRow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_Name" sourceName="Product Name">
  <pivotTables>
    <pivotTable tabId="2" name="PivotTable1"/>
  </pivotTables>
  <data>
    <tabular pivotCacheId="1">
      <items count="8">
        <i x="3" s="0"/>
        <i x="4" s="0"/>
        <i x="6" s="0"/>
        <i x="0" s="0"/>
        <i x="5" s="0"/>
        <i x="1" s="0"/>
        <i x="2" s="1"/>
        <i x="7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Name" cache="Slicer_Product_Name" caption="Products" showCaption="0" style="Slicer Style 1" rowHeight="323999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X81"/>
  <sheetViews>
    <sheetView showGridLines="0" tabSelected="1" zoomScale="70" zoomScaleNormal="70" workbookViewId="0">
      <selection activeCell="Z7" sqref="Z7"/>
    </sheetView>
  </sheetViews>
  <sheetFormatPr defaultColWidth="9" defaultRowHeight="14.25"/>
  <cols>
    <col min="1" max="1" width="7.49166666666667" style="12" customWidth="1"/>
    <col min="2" max="2" width="9" style="12"/>
    <col min="3" max="3" width="10" style="12" customWidth="1"/>
    <col min="4" max="4" width="5.25" style="12" customWidth="1"/>
    <col min="5" max="6" width="9" style="12"/>
    <col min="7" max="7" width="1.875" style="12" customWidth="1"/>
    <col min="8" max="9" width="9" style="12"/>
    <col min="10" max="10" width="1.875" style="12" customWidth="1"/>
    <col min="11" max="12" width="9" style="12"/>
    <col min="13" max="13" width="1.875" style="12" customWidth="1"/>
    <col min="14" max="15" width="9" style="12"/>
    <col min="16" max="16" width="1.875" style="12" customWidth="1"/>
    <col min="17" max="18" width="9" style="12"/>
    <col min="19" max="19" width="1.875" style="12" customWidth="1"/>
    <col min="20" max="21" width="9" style="12"/>
    <col min="22" max="22" width="1.875" style="12" customWidth="1"/>
    <col min="23" max="16384" width="9" style="12"/>
  </cols>
  <sheetData>
    <row r="1" ht="27.75" spans="5:24">
      <c r="E1" s="13" t="s">
        <v>0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34"/>
      <c r="W1" s="34"/>
      <c r="X1" s="34"/>
    </row>
    <row r="2" ht="27.75" spans="5:24"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34"/>
      <c r="W2" s="34"/>
      <c r="X2" s="34"/>
    </row>
    <row r="3" ht="20" customHeight="1" spans="5:21">
      <c r="E3" s="14" t="s">
        <v>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7:12">
      <c r="G4" s="15"/>
      <c r="H4" s="15"/>
      <c r="I4" s="15"/>
      <c r="J4" s="15"/>
      <c r="K4" s="15"/>
      <c r="L4" s="15"/>
    </row>
    <row r="5" ht="15.75" spans="5:24">
      <c r="E5" s="16" t="s">
        <v>2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26"/>
      <c r="Q5" s="16" t="s">
        <v>3</v>
      </c>
      <c r="R5" s="16"/>
      <c r="S5" s="16"/>
      <c r="T5" s="16"/>
      <c r="U5" s="16"/>
      <c r="V5" s="16"/>
      <c r="W5" s="16"/>
      <c r="X5" s="16"/>
    </row>
    <row r="6" ht="16.5" spans="5:24"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26"/>
      <c r="Q6" s="17"/>
      <c r="R6" s="17"/>
      <c r="S6" s="17"/>
      <c r="T6" s="17"/>
      <c r="U6" s="17"/>
      <c r="V6" s="17"/>
      <c r="W6" s="17"/>
      <c r="X6" s="17"/>
    </row>
    <row r="7" ht="15.75" spans="5:14">
      <c r="E7" s="18"/>
      <c r="F7" s="18"/>
      <c r="G7" s="18"/>
      <c r="H7" s="18"/>
      <c r="I7" s="18"/>
      <c r="J7" s="18"/>
      <c r="K7" s="18"/>
      <c r="L7" s="18"/>
      <c r="M7" s="18"/>
      <c r="N7" s="18"/>
    </row>
    <row r="8" ht="16.5" spans="5:24">
      <c r="E8" s="19" t="s">
        <v>4</v>
      </c>
      <c r="F8" s="19"/>
      <c r="H8" s="20">
        <f>VLOOKUP('Pivot Data'!A4,'Pivot Data'!A9:G18,5,0)</f>
        <v>104500</v>
      </c>
      <c r="I8" s="20"/>
      <c r="K8" s="27">
        <f>VLOOKUP('Pivot Data'!A4,'Pivot Data'!A22:G31,5,0)</f>
        <v>110</v>
      </c>
      <c r="L8" s="27"/>
      <c r="M8" s="28"/>
      <c r="N8" s="29">
        <f>VLOOKUP('Pivot Data'!A4,'Pivot Data'!A35:G44,5,0)</f>
        <v>0.326409495548961</v>
      </c>
      <c r="O8" s="29"/>
      <c r="Q8" s="20">
        <f>HLOOKUP(E8,'Pivot Data'!A9:G18,10,0)</f>
        <v>3601000</v>
      </c>
      <c r="R8" s="20"/>
      <c r="T8" s="27">
        <f>HLOOKUP(E8,'Pivot Data'!A22:G31,10,0)</f>
        <v>189</v>
      </c>
      <c r="U8" s="27"/>
      <c r="W8" s="29">
        <f>HLOOKUP(E8,'Pivot Data'!A35:G44,10,0)</f>
        <v>0.248094166927897</v>
      </c>
      <c r="X8" s="29"/>
    </row>
    <row r="9" ht="15.75" spans="5:15">
      <c r="E9" s="21"/>
      <c r="F9" s="21"/>
      <c r="H9" s="22"/>
      <c r="I9" s="22"/>
      <c r="K9" s="28"/>
      <c r="L9" s="28"/>
      <c r="M9" s="28"/>
      <c r="N9" s="30"/>
      <c r="O9" s="30"/>
    </row>
    <row r="10" ht="16.5" spans="5:24">
      <c r="E10" s="19" t="s">
        <v>5</v>
      </c>
      <c r="F10" s="19"/>
      <c r="H10" s="20">
        <f>VLOOKUP('Pivot Data'!A4,'Pivot Data'!A9:G18,6,0)</f>
        <v>0</v>
      </c>
      <c r="I10" s="20"/>
      <c r="K10" s="27">
        <f>VLOOKUP('Pivot Data'!A4,'Pivot Data'!A22:G31,6,0)</f>
        <v>0</v>
      </c>
      <c r="L10" s="27"/>
      <c r="M10" s="28"/>
      <c r="N10" s="29">
        <f>VLOOKUP('Pivot Data'!A4,'Pivot Data'!A35:G44,6,0)</f>
        <v>0</v>
      </c>
      <c r="O10" s="29"/>
      <c r="Q10" s="20">
        <f>HLOOKUP(E10,'Pivot Data'!A9:G18,10,0)</f>
        <v>4592500</v>
      </c>
      <c r="R10" s="20"/>
      <c r="T10" s="27">
        <f>HLOOKUP(E10,'Pivot Data'!A22:G31,10,0)</f>
        <v>97</v>
      </c>
      <c r="U10" s="27"/>
      <c r="W10" s="29">
        <f>HLOOKUP(E10,'Pivot Data'!A35:G44,10,0)</f>
        <v>0.316404460321124</v>
      </c>
      <c r="X10" s="29"/>
    </row>
    <row r="11" ht="15.75" spans="5:15">
      <c r="E11" s="21"/>
      <c r="F11" s="21"/>
      <c r="H11" s="22"/>
      <c r="I11" s="22"/>
      <c r="K11" s="28"/>
      <c r="L11" s="28"/>
      <c r="M11" s="28"/>
      <c r="N11" s="30"/>
      <c r="O11" s="30"/>
    </row>
    <row r="12" ht="16.5" spans="5:24">
      <c r="E12" s="19" t="s">
        <v>6</v>
      </c>
      <c r="F12" s="19"/>
      <c r="H12" s="20">
        <f>VLOOKUP('Pivot Data'!A4,'Pivot Data'!A9:G18,2,0)</f>
        <v>114000</v>
      </c>
      <c r="I12" s="20"/>
      <c r="K12" s="27">
        <f>VLOOKUP('Pivot Data'!A4,'Pivot Data'!A22:G31,2,0)</f>
        <v>120</v>
      </c>
      <c r="L12" s="27"/>
      <c r="M12" s="28"/>
      <c r="N12" s="29">
        <f>VLOOKUP('Pivot Data'!A4,'Pivot Data'!A35:G44,2,0)</f>
        <v>0.356083086053413</v>
      </c>
      <c r="O12" s="29"/>
      <c r="Q12" s="20">
        <f>HLOOKUP(E12,'Pivot Data'!A9:G18,10,0)</f>
        <v>3231500</v>
      </c>
      <c r="R12" s="20"/>
      <c r="T12" s="27">
        <f>HLOOKUP(E12,'Pivot Data'!A22:G31,10,0)</f>
        <v>172</v>
      </c>
      <c r="U12" s="27"/>
      <c r="W12" s="29">
        <f>HLOOKUP(E12,'Pivot Data'!A35:G44,10,0)</f>
        <v>0.222637128694113</v>
      </c>
      <c r="X12" s="29"/>
    </row>
    <row r="13" ht="15.75" spans="5:15">
      <c r="E13" s="21"/>
      <c r="F13" s="21"/>
      <c r="H13" s="22"/>
      <c r="I13" s="22"/>
      <c r="K13" s="28"/>
      <c r="L13" s="28"/>
      <c r="M13" s="28"/>
      <c r="N13" s="30"/>
      <c r="O13" s="30"/>
    </row>
    <row r="14" ht="16.5" spans="5:24">
      <c r="E14" s="19" t="s">
        <v>7</v>
      </c>
      <c r="F14" s="19"/>
      <c r="H14" s="20">
        <f>VLOOKUP('Pivot Data'!A4,'Pivot Data'!A9:G18,4,0)</f>
        <v>57000</v>
      </c>
      <c r="I14" s="20"/>
      <c r="K14" s="27">
        <f>VLOOKUP('Pivot Data'!A4,'Pivot Data'!A22:G31,4,0)</f>
        <v>60</v>
      </c>
      <c r="L14" s="27"/>
      <c r="M14" s="28"/>
      <c r="N14" s="29">
        <f>VLOOKUP('Pivot Data'!A4,'Pivot Data'!A35:G44,4,0)</f>
        <v>0.178041543026706</v>
      </c>
      <c r="O14" s="29"/>
      <c r="Q14" s="20">
        <f>HLOOKUP(E14,'Pivot Data'!A9:G18,10,0)</f>
        <v>1453000</v>
      </c>
      <c r="R14" s="20"/>
      <c r="T14" s="27">
        <f>HLOOKUP(E14,'Pivot Data'!A22:G31,10,0)</f>
        <v>87</v>
      </c>
      <c r="U14" s="27"/>
      <c r="W14" s="29">
        <f>HLOOKUP(E14,'Pivot Data'!A35:G44,10,0)</f>
        <v>0.100105755219726</v>
      </c>
      <c r="X14" s="29"/>
    </row>
    <row r="15" ht="15.75" spans="5:15">
      <c r="E15" s="21"/>
      <c r="F15" s="21"/>
      <c r="H15" s="22"/>
      <c r="I15" s="22"/>
      <c r="K15" s="28"/>
      <c r="L15" s="28"/>
      <c r="M15" s="28"/>
      <c r="N15" s="30"/>
      <c r="O15" s="30"/>
    </row>
    <row r="16" ht="16.5" spans="5:24">
      <c r="E16" s="19" t="s">
        <v>8</v>
      </c>
      <c r="F16" s="19"/>
      <c r="H16" s="20">
        <f>VLOOKUP('Pivot Data'!A4,'Pivot Data'!A9:G18,3,0)</f>
        <v>44650</v>
      </c>
      <c r="I16" s="20"/>
      <c r="K16" s="27">
        <f>VLOOKUP('Pivot Data'!A4,'Pivot Data'!A22:G31,3,0)</f>
        <v>47</v>
      </c>
      <c r="L16" s="27"/>
      <c r="M16" s="28"/>
      <c r="N16" s="29">
        <f>VLOOKUP('Pivot Data'!A4,'Pivot Data'!A35:G44,3,0)</f>
        <v>0.13946587537092</v>
      </c>
      <c r="O16" s="29"/>
      <c r="Q16" s="20">
        <f>HLOOKUP(E16,'Pivot Data'!A9:G18,10,0)</f>
        <v>1636650</v>
      </c>
      <c r="R16" s="20"/>
      <c r="T16" s="27">
        <f>HLOOKUP(E16,'Pivot Data'!A22:G31,10,0)</f>
        <v>68</v>
      </c>
      <c r="U16" s="27"/>
      <c r="W16" s="29">
        <f>HLOOKUP(E16,'Pivot Data'!A35:G44,10,0)</f>
        <v>0.11275848883714</v>
      </c>
      <c r="X16" s="29"/>
    </row>
    <row r="18" ht="16.5" spans="5:24">
      <c r="E18" s="19" t="s">
        <v>9</v>
      </c>
      <c r="F18" s="19"/>
      <c r="H18" s="23">
        <f>SUM(H8:I16)</f>
        <v>320150</v>
      </c>
      <c r="I18" s="23"/>
      <c r="J18" s="31"/>
      <c r="K18" s="32">
        <f>SUM(K8:L16)</f>
        <v>337</v>
      </c>
      <c r="L18" s="32"/>
      <c r="M18" s="31"/>
      <c r="N18" s="33">
        <f>SUM(N8:O16)</f>
        <v>1</v>
      </c>
      <c r="O18" s="33"/>
      <c r="Q18" s="23">
        <f>SUM(Q8:R16)</f>
        <v>14514650</v>
      </c>
      <c r="R18" s="23"/>
      <c r="T18" s="32">
        <f>SUM(T8:U16)</f>
        <v>613</v>
      </c>
      <c r="U18" s="32"/>
      <c r="W18" s="33">
        <f>SUM(W8:X16)</f>
        <v>1</v>
      </c>
      <c r="X18" s="33"/>
    </row>
    <row r="19" ht="22.5" customHeight="1"/>
    <row r="20" ht="7.5" customHeight="1"/>
    <row r="21" ht="22.5" customHeight="1"/>
    <row r="62" spans="2:3">
      <c r="B62" s="24" t="s">
        <v>10</v>
      </c>
      <c r="C62" s="24" t="s">
        <v>11</v>
      </c>
    </row>
    <row r="63" spans="2:3">
      <c r="B63" s="24" t="s">
        <v>4</v>
      </c>
      <c r="C63" s="25">
        <f>H8</f>
        <v>104500</v>
      </c>
    </row>
    <row r="64" spans="2:3">
      <c r="B64" s="24" t="s">
        <v>5</v>
      </c>
      <c r="C64" s="25">
        <f>H10</f>
        <v>0</v>
      </c>
    </row>
    <row r="65" spans="2:3">
      <c r="B65" s="24" t="s">
        <v>6</v>
      </c>
      <c r="C65" s="25">
        <f>H12</f>
        <v>114000</v>
      </c>
    </row>
    <row r="66" spans="2:3">
      <c r="B66" s="24" t="s">
        <v>7</v>
      </c>
      <c r="C66" s="25">
        <f>H14</f>
        <v>57000</v>
      </c>
    </row>
    <row r="67" spans="2:3">
      <c r="B67" s="24" t="s">
        <v>12</v>
      </c>
      <c r="C67" s="25">
        <f>H16</f>
        <v>44650</v>
      </c>
    </row>
    <row r="69" spans="2:3">
      <c r="B69" s="24" t="s">
        <v>10</v>
      </c>
      <c r="C69" s="24" t="s">
        <v>13</v>
      </c>
    </row>
    <row r="70" spans="2:3">
      <c r="B70" s="24" t="s">
        <v>4</v>
      </c>
      <c r="C70" s="35">
        <f>K8</f>
        <v>110</v>
      </c>
    </row>
    <row r="71" spans="2:3">
      <c r="B71" s="24" t="s">
        <v>5</v>
      </c>
      <c r="C71" s="35">
        <f>K10</f>
        <v>0</v>
      </c>
    </row>
    <row r="72" spans="2:3">
      <c r="B72" s="24" t="s">
        <v>6</v>
      </c>
      <c r="C72" s="35">
        <f>K12</f>
        <v>120</v>
      </c>
    </row>
    <row r="73" spans="2:3">
      <c r="B73" s="24" t="s">
        <v>7</v>
      </c>
      <c r="C73" s="35">
        <f>K14</f>
        <v>60</v>
      </c>
    </row>
    <row r="74" spans="2:3">
      <c r="B74" s="24" t="s">
        <v>12</v>
      </c>
      <c r="C74" s="35">
        <f>K16</f>
        <v>47</v>
      </c>
    </row>
    <row r="76" spans="2:3">
      <c r="B76" s="24" t="s">
        <v>10</v>
      </c>
      <c r="C76" s="24" t="s">
        <v>14</v>
      </c>
    </row>
    <row r="77" spans="2:3">
      <c r="B77" s="24" t="s">
        <v>4</v>
      </c>
      <c r="C77" s="36">
        <f>N8</f>
        <v>0.326409495548961</v>
      </c>
    </row>
    <row r="78" spans="2:3">
      <c r="B78" s="24" t="s">
        <v>5</v>
      </c>
      <c r="C78" s="36">
        <f>N10</f>
        <v>0</v>
      </c>
    </row>
    <row r="79" spans="2:3">
      <c r="B79" s="24" t="s">
        <v>6</v>
      </c>
      <c r="C79" s="36">
        <f>N12</f>
        <v>0.356083086053413</v>
      </c>
    </row>
    <row r="80" spans="2:3">
      <c r="B80" s="24" t="s">
        <v>7</v>
      </c>
      <c r="C80" s="36">
        <f>N14</f>
        <v>0.178041543026706</v>
      </c>
    </row>
    <row r="81" spans="2:3">
      <c r="B81" s="24" t="s">
        <v>12</v>
      </c>
      <c r="C81" s="36">
        <f>N16</f>
        <v>0.13946587537092</v>
      </c>
    </row>
  </sheetData>
  <mergeCells count="46">
    <mergeCell ref="E3:U3"/>
    <mergeCell ref="E8:F8"/>
    <mergeCell ref="H8:I8"/>
    <mergeCell ref="K8:L8"/>
    <mergeCell ref="N8:O8"/>
    <mergeCell ref="Q8:R8"/>
    <mergeCell ref="T8:U8"/>
    <mergeCell ref="W8:X8"/>
    <mergeCell ref="E10:F10"/>
    <mergeCell ref="H10:I10"/>
    <mergeCell ref="K10:L10"/>
    <mergeCell ref="N10:O10"/>
    <mergeCell ref="Q10:R10"/>
    <mergeCell ref="T10:U10"/>
    <mergeCell ref="W10:X10"/>
    <mergeCell ref="E12:F12"/>
    <mergeCell ref="H12:I12"/>
    <mergeCell ref="K12:L12"/>
    <mergeCell ref="N12:O12"/>
    <mergeCell ref="Q12:R12"/>
    <mergeCell ref="T12:U12"/>
    <mergeCell ref="W12:X12"/>
    <mergeCell ref="E14:F14"/>
    <mergeCell ref="H14:I14"/>
    <mergeCell ref="K14:L14"/>
    <mergeCell ref="N14:O14"/>
    <mergeCell ref="Q14:R14"/>
    <mergeCell ref="T14:U14"/>
    <mergeCell ref="W14:X14"/>
    <mergeCell ref="E16:F16"/>
    <mergeCell ref="H16:I16"/>
    <mergeCell ref="K16:L16"/>
    <mergeCell ref="N16:O16"/>
    <mergeCell ref="Q16:R16"/>
    <mergeCell ref="T16:U16"/>
    <mergeCell ref="W16:X16"/>
    <mergeCell ref="E18:F18"/>
    <mergeCell ref="H18:I18"/>
    <mergeCell ref="K18:L18"/>
    <mergeCell ref="N18:O18"/>
    <mergeCell ref="Q18:R18"/>
    <mergeCell ref="T18:U18"/>
    <mergeCell ref="W18:X18"/>
    <mergeCell ref="E5:O6"/>
    <mergeCell ref="Q5:X6"/>
    <mergeCell ref="E1:U2"/>
  </mergeCells>
  <pageMargins left="0.7" right="0.7" top="0.75" bottom="0.75" header="0.3" footer="0.3"/>
  <pageSetup paperSize="8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44"/>
  <sheetViews>
    <sheetView topLeftCell="A23" workbookViewId="0">
      <selection activeCell="B44" sqref="B44"/>
    </sheetView>
  </sheetViews>
  <sheetFormatPr defaultColWidth="9" defaultRowHeight="14.25" outlineLevelCol="6"/>
  <cols>
    <col min="1" max="1" width="19"/>
    <col min="2" max="2" width="18.5"/>
    <col min="3" max="6" width="13.25"/>
    <col min="7" max="7" width="11"/>
  </cols>
  <sheetData>
    <row r="1" spans="1:2">
      <c r="A1" t="s">
        <v>15</v>
      </c>
      <c r="B1" t="s">
        <v>16</v>
      </c>
    </row>
    <row r="3" spans="1:2">
      <c r="A3" t="s">
        <v>17</v>
      </c>
      <c r="B3" t="s">
        <v>18</v>
      </c>
    </row>
    <row r="4" spans="1:2">
      <c r="A4" s="8" t="s">
        <v>19</v>
      </c>
      <c r="B4" s="9">
        <v>320150</v>
      </c>
    </row>
    <row r="5" spans="1:2">
      <c r="A5" s="8" t="s">
        <v>20</v>
      </c>
      <c r="B5" s="9">
        <v>320150</v>
      </c>
    </row>
    <row r="8" spans="1:2">
      <c r="A8" t="s">
        <v>18</v>
      </c>
      <c r="B8" t="s">
        <v>21</v>
      </c>
    </row>
    <row r="9" spans="1:7">
      <c r="A9" t="s">
        <v>17</v>
      </c>
      <c r="B9" t="s">
        <v>6</v>
      </c>
      <c r="C9" t="s">
        <v>8</v>
      </c>
      <c r="D9" t="s">
        <v>7</v>
      </c>
      <c r="E9" t="s">
        <v>4</v>
      </c>
      <c r="F9" t="s">
        <v>5</v>
      </c>
      <c r="G9" t="s">
        <v>20</v>
      </c>
    </row>
    <row r="10" spans="1:7">
      <c r="A10" s="8" t="s">
        <v>22</v>
      </c>
      <c r="B10" s="10">
        <v>667000</v>
      </c>
      <c r="C10" s="10"/>
      <c r="D10" s="10">
        <v>348000</v>
      </c>
      <c r="E10" s="10">
        <v>1218000</v>
      </c>
      <c r="F10" s="10">
        <v>1624000</v>
      </c>
      <c r="G10" s="10">
        <v>3857000</v>
      </c>
    </row>
    <row r="11" spans="1:7">
      <c r="A11" s="8" t="s">
        <v>23</v>
      </c>
      <c r="B11" s="10">
        <v>1034000</v>
      </c>
      <c r="C11" s="10">
        <v>752000</v>
      </c>
      <c r="D11" s="10">
        <v>658000</v>
      </c>
      <c r="E11" s="10">
        <v>470000</v>
      </c>
      <c r="F11" s="10"/>
      <c r="G11" s="10">
        <v>2914000</v>
      </c>
    </row>
    <row r="12" spans="1:7">
      <c r="A12" s="8" t="s">
        <v>24</v>
      </c>
      <c r="B12" s="10">
        <v>504000</v>
      </c>
      <c r="C12" s="10">
        <v>84000</v>
      </c>
      <c r="D12" s="10"/>
      <c r="E12" s="10"/>
      <c r="F12" s="10">
        <v>1008000</v>
      </c>
      <c r="G12" s="10">
        <v>1596000</v>
      </c>
    </row>
    <row r="13" spans="1:7">
      <c r="A13" s="8" t="s">
        <v>25</v>
      </c>
      <c r="B13" s="10">
        <v>76500</v>
      </c>
      <c r="C13" s="10">
        <v>612000</v>
      </c>
      <c r="D13" s="10"/>
      <c r="E13" s="10">
        <v>229500</v>
      </c>
      <c r="F13" s="10">
        <v>1294500</v>
      </c>
      <c r="G13" s="10">
        <v>2212500</v>
      </c>
    </row>
    <row r="14" spans="1:7">
      <c r="A14" s="8" t="s">
        <v>26</v>
      </c>
      <c r="B14" s="10"/>
      <c r="C14" s="10">
        <v>144000</v>
      </c>
      <c r="D14" s="10">
        <v>72000</v>
      </c>
      <c r="E14" s="10">
        <v>252000</v>
      </c>
      <c r="F14" s="10">
        <v>180000</v>
      </c>
      <c r="G14" s="10">
        <v>648000</v>
      </c>
    </row>
    <row r="15" spans="1:7">
      <c r="A15" s="8" t="s">
        <v>27</v>
      </c>
      <c r="B15" s="10">
        <v>836000</v>
      </c>
      <c r="C15" s="10"/>
      <c r="D15" s="10"/>
      <c r="E15" s="10">
        <v>532000</v>
      </c>
      <c r="F15" s="10">
        <v>380000</v>
      </c>
      <c r="G15" s="10">
        <v>1748000</v>
      </c>
    </row>
    <row r="16" spans="1:7">
      <c r="A16" s="8" t="s">
        <v>19</v>
      </c>
      <c r="B16" s="10">
        <v>114000</v>
      </c>
      <c r="C16" s="10">
        <v>44650</v>
      </c>
      <c r="D16" s="10">
        <v>57000</v>
      </c>
      <c r="E16" s="10">
        <v>104500</v>
      </c>
      <c r="F16" s="10"/>
      <c r="G16" s="10">
        <v>320150</v>
      </c>
    </row>
    <row r="17" spans="1:7">
      <c r="A17" s="8" t="s">
        <v>28</v>
      </c>
      <c r="B17" s="10"/>
      <c r="C17" s="10"/>
      <c r="D17" s="10">
        <v>318000</v>
      </c>
      <c r="E17" s="10">
        <v>795000</v>
      </c>
      <c r="F17" s="10">
        <v>106000</v>
      </c>
      <c r="G17" s="10">
        <v>1219000</v>
      </c>
    </row>
    <row r="18" spans="1:7">
      <c r="A18" s="8" t="s">
        <v>20</v>
      </c>
      <c r="B18" s="10">
        <v>3231500</v>
      </c>
      <c r="C18" s="10">
        <v>1636650</v>
      </c>
      <c r="D18" s="10">
        <v>1453000</v>
      </c>
      <c r="E18" s="10">
        <v>3601000</v>
      </c>
      <c r="F18" s="10">
        <v>4592500</v>
      </c>
      <c r="G18" s="10">
        <v>14514650</v>
      </c>
    </row>
    <row r="21" spans="1:2">
      <c r="A21" t="s">
        <v>29</v>
      </c>
      <c r="B21" t="s">
        <v>15</v>
      </c>
    </row>
    <row r="22" spans="1:7">
      <c r="A22" t="s">
        <v>30</v>
      </c>
      <c r="B22" t="s">
        <v>6</v>
      </c>
      <c r="C22" t="s">
        <v>8</v>
      </c>
      <c r="D22" t="s">
        <v>7</v>
      </c>
      <c r="E22" t="s">
        <v>4</v>
      </c>
      <c r="F22" t="s">
        <v>5</v>
      </c>
      <c r="G22" t="s">
        <v>20</v>
      </c>
    </row>
    <row r="23" spans="1:7">
      <c r="A23" t="s">
        <v>22</v>
      </c>
      <c r="B23">
        <v>23</v>
      </c>
      <c r="D23">
        <v>12</v>
      </c>
      <c r="E23">
        <v>42</v>
      </c>
      <c r="F23">
        <v>56</v>
      </c>
      <c r="G23">
        <v>133</v>
      </c>
    </row>
    <row r="24" spans="1:7">
      <c r="A24" t="s">
        <v>23</v>
      </c>
      <c r="B24">
        <v>11</v>
      </c>
      <c r="C24">
        <v>8</v>
      </c>
      <c r="D24">
        <v>7</v>
      </c>
      <c r="E24">
        <v>5</v>
      </c>
      <c r="G24">
        <v>31</v>
      </c>
    </row>
    <row r="25" spans="1:7">
      <c r="A25" t="s">
        <v>24</v>
      </c>
      <c r="B25">
        <v>6</v>
      </c>
      <c r="C25">
        <v>1</v>
      </c>
      <c r="F25">
        <v>12</v>
      </c>
      <c r="G25">
        <v>19</v>
      </c>
    </row>
    <row r="26" spans="1:7">
      <c r="A26" t="s">
        <v>25</v>
      </c>
      <c r="B26">
        <v>1</v>
      </c>
      <c r="C26">
        <v>8</v>
      </c>
      <c r="E26">
        <v>3</v>
      </c>
      <c r="F26">
        <v>17</v>
      </c>
      <c r="G26">
        <v>29</v>
      </c>
    </row>
    <row r="27" spans="1:7">
      <c r="A27" t="s">
        <v>26</v>
      </c>
      <c r="C27">
        <v>4</v>
      </c>
      <c r="D27">
        <v>2</v>
      </c>
      <c r="E27">
        <v>7</v>
      </c>
      <c r="F27">
        <v>5</v>
      </c>
      <c r="G27">
        <v>18</v>
      </c>
    </row>
    <row r="28" spans="1:7">
      <c r="A28" t="s">
        <v>27</v>
      </c>
      <c r="B28">
        <v>11</v>
      </c>
      <c r="E28">
        <v>7</v>
      </c>
      <c r="F28">
        <v>5</v>
      </c>
      <c r="G28">
        <v>23</v>
      </c>
    </row>
    <row r="29" spans="1:7">
      <c r="A29" t="s">
        <v>19</v>
      </c>
      <c r="B29">
        <v>120</v>
      </c>
      <c r="C29">
        <v>47</v>
      </c>
      <c r="D29">
        <v>60</v>
      </c>
      <c r="E29">
        <v>110</v>
      </c>
      <c r="G29">
        <v>337</v>
      </c>
    </row>
    <row r="30" spans="1:7">
      <c r="A30" t="s">
        <v>28</v>
      </c>
      <c r="D30">
        <v>6</v>
      </c>
      <c r="E30">
        <v>15</v>
      </c>
      <c r="F30">
        <v>2</v>
      </c>
      <c r="G30">
        <v>23</v>
      </c>
    </row>
    <row r="31" spans="1:7">
      <c r="A31" t="s">
        <v>20</v>
      </c>
      <c r="B31">
        <v>172</v>
      </c>
      <c r="C31">
        <v>68</v>
      </c>
      <c r="D31">
        <v>87</v>
      </c>
      <c r="E31">
        <v>189</v>
      </c>
      <c r="F31">
        <v>97</v>
      </c>
      <c r="G31">
        <v>613</v>
      </c>
    </row>
    <row r="34" spans="1:2">
      <c r="A34" t="s">
        <v>18</v>
      </c>
      <c r="B34" t="s">
        <v>15</v>
      </c>
    </row>
    <row r="35" spans="1:7">
      <c r="A35" t="s">
        <v>30</v>
      </c>
      <c r="B35" t="s">
        <v>6</v>
      </c>
      <c r="C35" t="s">
        <v>8</v>
      </c>
      <c r="D35" t="s">
        <v>7</v>
      </c>
      <c r="E35" t="s">
        <v>4</v>
      </c>
      <c r="F35" t="s">
        <v>5</v>
      </c>
      <c r="G35" t="s">
        <v>20</v>
      </c>
    </row>
    <row r="36" spans="1:7">
      <c r="A36" t="s">
        <v>22</v>
      </c>
      <c r="B36" s="11">
        <v>0.172932330827068</v>
      </c>
      <c r="C36" s="11">
        <v>0</v>
      </c>
      <c r="D36" s="11">
        <v>0.0902255639097744</v>
      </c>
      <c r="E36" s="11">
        <v>0.315789473684211</v>
      </c>
      <c r="F36" s="11">
        <v>0.421052631578947</v>
      </c>
      <c r="G36" s="11">
        <v>1</v>
      </c>
    </row>
    <row r="37" spans="1:7">
      <c r="A37" t="s">
        <v>23</v>
      </c>
      <c r="B37" s="11">
        <v>0.354838709677419</v>
      </c>
      <c r="C37" s="11">
        <v>0.258064516129032</v>
      </c>
      <c r="D37" s="11">
        <v>0.225806451612903</v>
      </c>
      <c r="E37" s="11">
        <v>0.161290322580645</v>
      </c>
      <c r="F37" s="11">
        <v>0</v>
      </c>
      <c r="G37" s="11">
        <v>1</v>
      </c>
    </row>
    <row r="38" spans="1:7">
      <c r="A38" t="s">
        <v>24</v>
      </c>
      <c r="B38" s="11">
        <v>0.315789473684211</v>
      </c>
      <c r="C38" s="11">
        <v>0.0526315789473684</v>
      </c>
      <c r="D38" s="11">
        <v>0</v>
      </c>
      <c r="E38" s="11">
        <v>0</v>
      </c>
      <c r="F38" s="11">
        <v>0.631578947368421</v>
      </c>
      <c r="G38" s="11">
        <v>1</v>
      </c>
    </row>
    <row r="39" spans="1:7">
      <c r="A39" t="s">
        <v>25</v>
      </c>
      <c r="B39" s="11">
        <v>0.0345762711864407</v>
      </c>
      <c r="C39" s="11">
        <v>0.276610169491525</v>
      </c>
      <c r="D39" s="11">
        <v>0</v>
      </c>
      <c r="E39" s="11">
        <v>0.103728813559322</v>
      </c>
      <c r="F39" s="11">
        <v>0.585084745762712</v>
      </c>
      <c r="G39" s="11">
        <v>1</v>
      </c>
    </row>
    <row r="40" spans="1:7">
      <c r="A40" t="s">
        <v>26</v>
      </c>
      <c r="B40" s="11">
        <v>0</v>
      </c>
      <c r="C40" s="11">
        <v>0.222222222222222</v>
      </c>
      <c r="D40" s="11">
        <v>0.111111111111111</v>
      </c>
      <c r="E40" s="11">
        <v>0.388888888888889</v>
      </c>
      <c r="F40" s="11">
        <v>0.277777777777778</v>
      </c>
      <c r="G40" s="11">
        <v>1</v>
      </c>
    </row>
    <row r="41" spans="1:7">
      <c r="A41" t="s">
        <v>27</v>
      </c>
      <c r="B41" s="11">
        <v>0.478260869565217</v>
      </c>
      <c r="C41" s="11">
        <v>0</v>
      </c>
      <c r="D41" s="11">
        <v>0</v>
      </c>
      <c r="E41" s="11">
        <v>0.304347826086957</v>
      </c>
      <c r="F41" s="11">
        <v>0.217391304347826</v>
      </c>
      <c r="G41" s="11">
        <v>1</v>
      </c>
    </row>
    <row r="42" spans="1:7">
      <c r="A42" t="s">
        <v>19</v>
      </c>
      <c r="B42" s="11">
        <v>0.356083086053413</v>
      </c>
      <c r="C42" s="11">
        <v>0.13946587537092</v>
      </c>
      <c r="D42" s="11">
        <v>0.178041543026706</v>
      </c>
      <c r="E42" s="11">
        <v>0.326409495548961</v>
      </c>
      <c r="F42" s="11">
        <v>0</v>
      </c>
      <c r="G42" s="11">
        <v>1</v>
      </c>
    </row>
    <row r="43" spans="1:7">
      <c r="A43" t="s">
        <v>28</v>
      </c>
      <c r="B43" s="11">
        <v>0</v>
      </c>
      <c r="C43" s="11">
        <v>0</v>
      </c>
      <c r="D43" s="11">
        <v>0.260869565217391</v>
      </c>
      <c r="E43" s="11">
        <v>0.652173913043478</v>
      </c>
      <c r="F43" s="11">
        <v>0.0869565217391304</v>
      </c>
      <c r="G43" s="11">
        <v>1</v>
      </c>
    </row>
    <row r="44" spans="1:7">
      <c r="A44" t="s">
        <v>20</v>
      </c>
      <c r="B44" s="11">
        <v>0.222637128694113</v>
      </c>
      <c r="C44" s="11">
        <v>0.11275848883714</v>
      </c>
      <c r="D44" s="11">
        <v>0.100105755219726</v>
      </c>
      <c r="E44" s="11">
        <v>0.248094166927897</v>
      </c>
      <c r="F44" s="11">
        <v>0.316404460321124</v>
      </c>
      <c r="G44" s="11">
        <v>1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L54"/>
  <sheetViews>
    <sheetView workbookViewId="0">
      <selection activeCell="E17" sqref="E17"/>
    </sheetView>
  </sheetViews>
  <sheetFormatPr defaultColWidth="9" defaultRowHeight="14.25"/>
  <cols>
    <col min="1" max="1" width="9.875" style="1" customWidth="1"/>
    <col min="2" max="2" width="11" style="2" customWidth="1"/>
    <col min="3" max="3" width="19.5" customWidth="1"/>
    <col min="4" max="4" width="10.125" customWidth="1"/>
    <col min="5" max="5" width="12.375" customWidth="1"/>
    <col min="6" max="6" width="11.5" customWidth="1"/>
    <col min="7" max="7" width="10.5" customWidth="1"/>
    <col min="8" max="8" width="11.25" style="3" customWidth="1"/>
    <col min="9" max="9" width="13.875" style="3" customWidth="1"/>
    <col min="10" max="10" width="16" style="1" customWidth="1"/>
    <col min="11" max="11" width="13.5" customWidth="1"/>
    <col min="12" max="12" width="15" customWidth="1"/>
    <col min="13" max="13" width="13.5" customWidth="1"/>
  </cols>
  <sheetData>
    <row r="1" ht="15.75" spans="1:12">
      <c r="A1" s="4" t="s">
        <v>31</v>
      </c>
      <c r="B1" s="5" t="s">
        <v>32</v>
      </c>
      <c r="C1" s="6" t="s">
        <v>30</v>
      </c>
      <c r="D1" s="6" t="s">
        <v>33</v>
      </c>
      <c r="E1" s="6" t="s">
        <v>15</v>
      </c>
      <c r="F1" s="6" t="s">
        <v>34</v>
      </c>
      <c r="G1" s="6" t="s">
        <v>13</v>
      </c>
      <c r="H1" s="7" t="s">
        <v>35</v>
      </c>
      <c r="I1" s="7" t="s">
        <v>36</v>
      </c>
      <c r="J1" s="4" t="s">
        <v>37</v>
      </c>
      <c r="K1" s="6" t="s">
        <v>38</v>
      </c>
      <c r="L1" s="6" t="s">
        <v>39</v>
      </c>
    </row>
    <row r="2" spans="1:12">
      <c r="A2" s="1">
        <v>45993</v>
      </c>
      <c r="B2" s="2">
        <v>0.538888888888889</v>
      </c>
      <c r="C2" t="s">
        <v>25</v>
      </c>
      <c r="D2" t="s">
        <v>40</v>
      </c>
      <c r="E2" t="s">
        <v>6</v>
      </c>
      <c r="F2" t="s">
        <v>41</v>
      </c>
      <c r="G2">
        <v>1</v>
      </c>
      <c r="H2" s="3">
        <v>76500</v>
      </c>
      <c r="I2" s="3">
        <f t="shared" ref="I2:I54" si="0">G2*H2</f>
        <v>76500</v>
      </c>
      <c r="J2" s="1">
        <v>45996</v>
      </c>
      <c r="K2" t="s">
        <v>42</v>
      </c>
      <c r="L2" t="s">
        <v>43</v>
      </c>
    </row>
    <row r="3" spans="1:12">
      <c r="A3" s="1">
        <v>45993</v>
      </c>
      <c r="B3" s="2">
        <v>0.614583333333333</v>
      </c>
      <c r="C3" t="s">
        <v>27</v>
      </c>
      <c r="D3" t="s">
        <v>44</v>
      </c>
      <c r="E3" t="s">
        <v>4</v>
      </c>
      <c r="F3" t="s">
        <v>45</v>
      </c>
      <c r="G3">
        <v>2</v>
      </c>
      <c r="H3" s="3">
        <v>76000</v>
      </c>
      <c r="I3" s="3">
        <f t="shared" si="0"/>
        <v>152000</v>
      </c>
      <c r="J3" s="1">
        <v>45995</v>
      </c>
      <c r="K3" t="s">
        <v>46</v>
      </c>
      <c r="L3" t="s">
        <v>47</v>
      </c>
    </row>
    <row r="4" spans="1:12">
      <c r="A4" s="1">
        <v>45993</v>
      </c>
      <c r="B4" s="2">
        <v>0.622222222222222</v>
      </c>
      <c r="C4" t="s">
        <v>19</v>
      </c>
      <c r="D4" t="s">
        <v>48</v>
      </c>
      <c r="E4" t="s">
        <v>4</v>
      </c>
      <c r="F4" t="s">
        <v>49</v>
      </c>
      <c r="G4">
        <v>70</v>
      </c>
      <c r="H4" s="3">
        <v>950</v>
      </c>
      <c r="I4" s="3">
        <f t="shared" si="0"/>
        <v>66500</v>
      </c>
      <c r="J4" s="1">
        <v>45997</v>
      </c>
      <c r="K4" t="s">
        <v>50</v>
      </c>
      <c r="L4" t="s">
        <v>51</v>
      </c>
    </row>
    <row r="5" spans="1:12">
      <c r="A5" s="1">
        <v>45993</v>
      </c>
      <c r="B5" s="2">
        <v>0.648611111111111</v>
      </c>
      <c r="C5" t="s">
        <v>22</v>
      </c>
      <c r="D5" t="s">
        <v>52</v>
      </c>
      <c r="E5" t="s">
        <v>5</v>
      </c>
      <c r="F5" t="s">
        <v>53</v>
      </c>
      <c r="G5">
        <v>45</v>
      </c>
      <c r="H5" s="3">
        <v>29000</v>
      </c>
      <c r="I5" s="3">
        <f t="shared" si="0"/>
        <v>1305000</v>
      </c>
      <c r="J5" s="1">
        <v>45996</v>
      </c>
      <c r="K5" t="s">
        <v>54</v>
      </c>
      <c r="L5" t="s">
        <v>51</v>
      </c>
    </row>
    <row r="6" spans="1:12">
      <c r="A6" s="1">
        <v>45993</v>
      </c>
      <c r="B6" s="2">
        <v>0.651388888888889</v>
      </c>
      <c r="C6" t="s">
        <v>23</v>
      </c>
      <c r="D6" t="s">
        <v>55</v>
      </c>
      <c r="E6" t="s">
        <v>6</v>
      </c>
      <c r="F6" t="s">
        <v>56</v>
      </c>
      <c r="G6">
        <v>1</v>
      </c>
      <c r="H6" s="3">
        <v>94000</v>
      </c>
      <c r="I6" s="3">
        <f t="shared" si="0"/>
        <v>94000</v>
      </c>
      <c r="J6" s="1">
        <v>45998</v>
      </c>
      <c r="K6" t="s">
        <v>57</v>
      </c>
      <c r="L6" t="s">
        <v>58</v>
      </c>
    </row>
    <row r="7" spans="1:12">
      <c r="A7" s="1">
        <v>45993</v>
      </c>
      <c r="B7" s="2">
        <v>0.807638888888889</v>
      </c>
      <c r="C7" t="s">
        <v>26</v>
      </c>
      <c r="D7" t="s">
        <v>59</v>
      </c>
      <c r="E7" t="s">
        <v>4</v>
      </c>
      <c r="F7" t="s">
        <v>60</v>
      </c>
      <c r="G7">
        <v>2</v>
      </c>
      <c r="H7" s="3">
        <v>36000</v>
      </c>
      <c r="I7" s="3">
        <f t="shared" si="0"/>
        <v>72000</v>
      </c>
      <c r="J7" s="1">
        <v>45994</v>
      </c>
      <c r="K7" t="s">
        <v>46</v>
      </c>
      <c r="L7" t="s">
        <v>43</v>
      </c>
    </row>
    <row r="8" spans="1:12">
      <c r="A8" s="1">
        <v>45995</v>
      </c>
      <c r="B8" s="2">
        <v>0.440277777777778</v>
      </c>
      <c r="C8" t="s">
        <v>25</v>
      </c>
      <c r="D8" t="s">
        <v>61</v>
      </c>
      <c r="E8" t="s">
        <v>8</v>
      </c>
      <c r="F8" t="s">
        <v>12</v>
      </c>
      <c r="G8">
        <v>3</v>
      </c>
      <c r="H8" s="3">
        <v>76500</v>
      </c>
      <c r="I8" s="3">
        <f t="shared" si="0"/>
        <v>229500</v>
      </c>
      <c r="J8" s="1">
        <v>45999</v>
      </c>
      <c r="K8" t="s">
        <v>42</v>
      </c>
      <c r="L8" t="s">
        <v>43</v>
      </c>
    </row>
    <row r="9" spans="1:12">
      <c r="A9" s="1">
        <v>45995</v>
      </c>
      <c r="B9" s="2">
        <v>0.497222222222222</v>
      </c>
      <c r="C9" t="s">
        <v>22</v>
      </c>
      <c r="D9" t="s">
        <v>62</v>
      </c>
      <c r="E9" t="s">
        <v>4</v>
      </c>
      <c r="F9" t="s">
        <v>63</v>
      </c>
      <c r="G9">
        <v>6</v>
      </c>
      <c r="H9" s="3">
        <v>29000</v>
      </c>
      <c r="I9" s="3">
        <f t="shared" si="0"/>
        <v>174000</v>
      </c>
      <c r="J9" s="1">
        <v>45998</v>
      </c>
      <c r="K9" t="s">
        <v>46</v>
      </c>
      <c r="L9" t="s">
        <v>51</v>
      </c>
    </row>
    <row r="10" spans="1:12">
      <c r="A10" s="1">
        <v>45995</v>
      </c>
      <c r="B10" s="2">
        <v>0.65</v>
      </c>
      <c r="C10" t="s">
        <v>27</v>
      </c>
      <c r="D10" t="s">
        <v>64</v>
      </c>
      <c r="E10" t="s">
        <v>5</v>
      </c>
      <c r="F10" t="s">
        <v>65</v>
      </c>
      <c r="G10">
        <v>5</v>
      </c>
      <c r="H10" s="3">
        <v>76000</v>
      </c>
      <c r="I10" s="3">
        <f t="shared" si="0"/>
        <v>380000</v>
      </c>
      <c r="J10" s="1">
        <v>45999</v>
      </c>
      <c r="K10" t="s">
        <v>50</v>
      </c>
      <c r="L10" t="s">
        <v>58</v>
      </c>
    </row>
    <row r="11" spans="1:12">
      <c r="A11" s="1">
        <v>45996</v>
      </c>
      <c r="B11" s="2">
        <v>0.754861111111111</v>
      </c>
      <c r="C11" t="s">
        <v>23</v>
      </c>
      <c r="D11" t="s">
        <v>66</v>
      </c>
      <c r="E11" t="s">
        <v>4</v>
      </c>
      <c r="F11" t="s">
        <v>67</v>
      </c>
      <c r="G11">
        <v>2</v>
      </c>
      <c r="H11" s="3">
        <v>94000</v>
      </c>
      <c r="I11" s="3">
        <f t="shared" si="0"/>
        <v>188000</v>
      </c>
      <c r="J11" s="1">
        <v>46000</v>
      </c>
      <c r="K11" t="s">
        <v>57</v>
      </c>
      <c r="L11" t="s">
        <v>43</v>
      </c>
    </row>
    <row r="12" spans="1:12">
      <c r="A12" s="1">
        <v>45996</v>
      </c>
      <c r="B12" s="2">
        <v>0.835416666666667</v>
      </c>
      <c r="C12" t="s">
        <v>19</v>
      </c>
      <c r="D12" t="s">
        <v>68</v>
      </c>
      <c r="E12" t="s">
        <v>6</v>
      </c>
      <c r="F12" t="s">
        <v>69</v>
      </c>
      <c r="G12">
        <v>23</v>
      </c>
      <c r="H12" s="3">
        <v>950</v>
      </c>
      <c r="I12" s="3">
        <f t="shared" si="0"/>
        <v>21850</v>
      </c>
      <c r="J12" s="1">
        <v>46001</v>
      </c>
      <c r="K12" t="s">
        <v>42</v>
      </c>
      <c r="L12" t="s">
        <v>47</v>
      </c>
    </row>
    <row r="13" spans="1:12">
      <c r="A13" s="1">
        <v>45997</v>
      </c>
      <c r="B13" s="2">
        <v>0.397222222222222</v>
      </c>
      <c r="C13" t="s">
        <v>26</v>
      </c>
      <c r="D13" t="s">
        <v>70</v>
      </c>
      <c r="E13" t="s">
        <v>7</v>
      </c>
      <c r="F13" t="s">
        <v>71</v>
      </c>
      <c r="G13">
        <v>2</v>
      </c>
      <c r="H13" s="3">
        <v>36000</v>
      </c>
      <c r="I13" s="3">
        <f t="shared" si="0"/>
        <v>72000</v>
      </c>
      <c r="J13" s="1">
        <v>46000</v>
      </c>
      <c r="K13" t="s">
        <v>54</v>
      </c>
      <c r="L13" t="s">
        <v>51</v>
      </c>
    </row>
    <row r="14" spans="1:12">
      <c r="A14" s="1">
        <v>45998</v>
      </c>
      <c r="B14" s="2">
        <v>0.690277777777778</v>
      </c>
      <c r="C14" t="s">
        <v>24</v>
      </c>
      <c r="D14" t="s">
        <v>72</v>
      </c>
      <c r="E14" t="s">
        <v>8</v>
      </c>
      <c r="F14" t="s">
        <v>12</v>
      </c>
      <c r="G14">
        <v>1</v>
      </c>
      <c r="H14" s="3">
        <v>84000</v>
      </c>
      <c r="I14" s="3">
        <f t="shared" si="0"/>
        <v>84000</v>
      </c>
      <c r="J14" s="1">
        <v>46001</v>
      </c>
      <c r="K14" t="s">
        <v>46</v>
      </c>
      <c r="L14" t="s">
        <v>51</v>
      </c>
    </row>
    <row r="15" spans="1:12">
      <c r="A15" s="1">
        <v>45998</v>
      </c>
      <c r="B15" s="2">
        <v>0.800694444444444</v>
      </c>
      <c r="C15" t="s">
        <v>28</v>
      </c>
      <c r="D15" t="s">
        <v>73</v>
      </c>
      <c r="E15" t="s">
        <v>5</v>
      </c>
      <c r="F15" t="s">
        <v>74</v>
      </c>
      <c r="G15">
        <v>2</v>
      </c>
      <c r="H15" s="3">
        <v>53000</v>
      </c>
      <c r="I15" s="3">
        <f t="shared" si="0"/>
        <v>106000</v>
      </c>
      <c r="J15" s="1">
        <v>46002</v>
      </c>
      <c r="K15" t="s">
        <v>54</v>
      </c>
      <c r="L15" t="s">
        <v>47</v>
      </c>
    </row>
    <row r="16" spans="1:12">
      <c r="A16" s="1">
        <v>46000</v>
      </c>
      <c r="B16" s="2">
        <v>0.434027777777778</v>
      </c>
      <c r="C16" t="s">
        <v>19</v>
      </c>
      <c r="D16" t="s">
        <v>75</v>
      </c>
      <c r="E16" t="s">
        <v>7</v>
      </c>
      <c r="F16" t="s">
        <v>76</v>
      </c>
      <c r="G16">
        <v>60</v>
      </c>
      <c r="H16" s="3">
        <v>950</v>
      </c>
      <c r="I16" s="3">
        <f t="shared" si="0"/>
        <v>57000</v>
      </c>
      <c r="J16" s="1">
        <v>46003</v>
      </c>
      <c r="K16" t="s">
        <v>57</v>
      </c>
      <c r="L16" t="s">
        <v>51</v>
      </c>
    </row>
    <row r="17" spans="1:12">
      <c r="A17" s="1">
        <v>46000</v>
      </c>
      <c r="B17" s="2">
        <v>0.481944444444444</v>
      </c>
      <c r="C17" t="s">
        <v>22</v>
      </c>
      <c r="D17" t="s">
        <v>77</v>
      </c>
      <c r="E17" t="s">
        <v>6</v>
      </c>
      <c r="F17" t="s">
        <v>78</v>
      </c>
      <c r="G17">
        <v>13</v>
      </c>
      <c r="H17" s="3">
        <v>29000</v>
      </c>
      <c r="I17" s="3">
        <f t="shared" si="0"/>
        <v>377000</v>
      </c>
      <c r="J17" s="1">
        <v>46004</v>
      </c>
      <c r="K17" t="s">
        <v>46</v>
      </c>
      <c r="L17" t="s">
        <v>51</v>
      </c>
    </row>
    <row r="18" spans="1:12">
      <c r="A18" s="1">
        <v>46001</v>
      </c>
      <c r="B18" s="2">
        <v>0.807638888888889</v>
      </c>
      <c r="C18" t="s">
        <v>25</v>
      </c>
      <c r="D18" t="s">
        <v>79</v>
      </c>
      <c r="E18" t="s">
        <v>4</v>
      </c>
      <c r="F18" t="s">
        <v>80</v>
      </c>
      <c r="G18">
        <v>3</v>
      </c>
      <c r="H18" s="3">
        <v>76500</v>
      </c>
      <c r="I18" s="3">
        <f t="shared" si="0"/>
        <v>229500</v>
      </c>
      <c r="J18" s="1">
        <v>46005</v>
      </c>
      <c r="K18" t="s">
        <v>42</v>
      </c>
      <c r="L18" t="s">
        <v>43</v>
      </c>
    </row>
    <row r="19" spans="1:12">
      <c r="A19" s="1">
        <v>46002</v>
      </c>
      <c r="B19" s="2">
        <v>0.440277777777778</v>
      </c>
      <c r="C19" t="s">
        <v>22</v>
      </c>
      <c r="D19" t="s">
        <v>81</v>
      </c>
      <c r="E19" t="s">
        <v>5</v>
      </c>
      <c r="F19" t="s">
        <v>53</v>
      </c>
      <c r="G19">
        <v>4</v>
      </c>
      <c r="H19" s="3">
        <v>29000</v>
      </c>
      <c r="I19" s="3">
        <f t="shared" si="0"/>
        <v>116000</v>
      </c>
      <c r="J19" s="1">
        <v>46006</v>
      </c>
      <c r="K19" t="s">
        <v>46</v>
      </c>
      <c r="L19" t="s">
        <v>47</v>
      </c>
    </row>
    <row r="20" spans="1:12">
      <c r="A20" s="1">
        <v>46003</v>
      </c>
      <c r="B20" s="2">
        <v>0.497222222222222</v>
      </c>
      <c r="C20" t="s">
        <v>27</v>
      </c>
      <c r="D20" t="s">
        <v>82</v>
      </c>
      <c r="E20" t="s">
        <v>6</v>
      </c>
      <c r="F20" t="s">
        <v>56</v>
      </c>
      <c r="G20">
        <v>1</v>
      </c>
      <c r="H20" s="3">
        <v>76000</v>
      </c>
      <c r="I20" s="3">
        <f t="shared" si="0"/>
        <v>76000</v>
      </c>
      <c r="J20" s="1">
        <v>46007</v>
      </c>
      <c r="K20" t="s">
        <v>50</v>
      </c>
      <c r="L20" t="s">
        <v>51</v>
      </c>
    </row>
    <row r="21" spans="1:12">
      <c r="A21" s="1">
        <v>46004</v>
      </c>
      <c r="B21" s="2">
        <v>0.65</v>
      </c>
      <c r="C21" t="s">
        <v>23</v>
      </c>
      <c r="D21" t="s">
        <v>83</v>
      </c>
      <c r="E21" t="s">
        <v>4</v>
      </c>
      <c r="F21" t="s">
        <v>45</v>
      </c>
      <c r="G21">
        <v>3</v>
      </c>
      <c r="H21" s="3">
        <v>94000</v>
      </c>
      <c r="I21" s="3">
        <f t="shared" si="0"/>
        <v>282000</v>
      </c>
      <c r="J21" s="1">
        <v>46008</v>
      </c>
      <c r="K21" t="s">
        <v>54</v>
      </c>
      <c r="L21" t="s">
        <v>51</v>
      </c>
    </row>
    <row r="22" spans="1:12">
      <c r="A22" s="1">
        <v>46005</v>
      </c>
      <c r="B22" s="2">
        <v>0.754861111111111</v>
      </c>
      <c r="C22" t="s">
        <v>19</v>
      </c>
      <c r="D22" t="s">
        <v>84</v>
      </c>
      <c r="E22" t="s">
        <v>8</v>
      </c>
      <c r="F22" t="s">
        <v>12</v>
      </c>
      <c r="G22">
        <v>23</v>
      </c>
      <c r="H22" s="3">
        <v>950</v>
      </c>
      <c r="I22" s="3">
        <f t="shared" si="0"/>
        <v>21850</v>
      </c>
      <c r="J22" s="1">
        <v>46009</v>
      </c>
      <c r="K22" t="s">
        <v>57</v>
      </c>
      <c r="L22" t="s">
        <v>58</v>
      </c>
    </row>
    <row r="23" spans="1:12">
      <c r="A23" s="1">
        <v>46006</v>
      </c>
      <c r="B23" s="2">
        <v>0.835416666666667</v>
      </c>
      <c r="C23" t="s">
        <v>26</v>
      </c>
      <c r="D23" t="s">
        <v>85</v>
      </c>
      <c r="E23" t="s">
        <v>4</v>
      </c>
      <c r="F23" t="s">
        <v>60</v>
      </c>
      <c r="G23">
        <v>2</v>
      </c>
      <c r="H23" s="3">
        <v>36000</v>
      </c>
      <c r="I23" s="3">
        <f t="shared" si="0"/>
        <v>72000</v>
      </c>
      <c r="J23" s="1">
        <v>46010</v>
      </c>
      <c r="K23" t="s">
        <v>46</v>
      </c>
      <c r="L23" t="s">
        <v>43</v>
      </c>
    </row>
    <row r="24" spans="1:12">
      <c r="A24" s="1">
        <v>46007</v>
      </c>
      <c r="B24" s="2">
        <v>0.397222222222222</v>
      </c>
      <c r="C24" t="s">
        <v>24</v>
      </c>
      <c r="D24" t="s">
        <v>86</v>
      </c>
      <c r="E24" t="s">
        <v>5</v>
      </c>
      <c r="F24" t="s">
        <v>65</v>
      </c>
      <c r="G24">
        <v>5</v>
      </c>
      <c r="H24" s="3">
        <v>84000</v>
      </c>
      <c r="I24" s="3">
        <f t="shared" si="0"/>
        <v>420000</v>
      </c>
      <c r="J24" s="1">
        <v>46011</v>
      </c>
      <c r="K24" t="s">
        <v>42</v>
      </c>
      <c r="L24" t="s">
        <v>43</v>
      </c>
    </row>
    <row r="25" spans="1:12">
      <c r="A25" s="1">
        <v>46008</v>
      </c>
      <c r="B25" s="2">
        <v>0.690277777777778</v>
      </c>
      <c r="C25" t="s">
        <v>28</v>
      </c>
      <c r="D25" t="s">
        <v>87</v>
      </c>
      <c r="E25" t="s">
        <v>4</v>
      </c>
      <c r="F25" t="s">
        <v>80</v>
      </c>
      <c r="G25">
        <v>3</v>
      </c>
      <c r="H25" s="3">
        <v>53000</v>
      </c>
      <c r="I25" s="3">
        <f t="shared" si="0"/>
        <v>159000</v>
      </c>
      <c r="J25" s="1">
        <v>46012</v>
      </c>
      <c r="K25" t="s">
        <v>46</v>
      </c>
      <c r="L25" t="s">
        <v>51</v>
      </c>
    </row>
    <row r="26" spans="1:12">
      <c r="A26" s="1">
        <v>46009</v>
      </c>
      <c r="B26" s="2">
        <v>0.800694444444444</v>
      </c>
      <c r="C26" t="s">
        <v>19</v>
      </c>
      <c r="D26" t="s">
        <v>88</v>
      </c>
      <c r="E26" t="s">
        <v>6</v>
      </c>
      <c r="F26" t="s">
        <v>56</v>
      </c>
      <c r="G26">
        <v>35</v>
      </c>
      <c r="H26" s="3">
        <v>950</v>
      </c>
      <c r="I26" s="3">
        <f t="shared" si="0"/>
        <v>33250</v>
      </c>
      <c r="J26" s="1">
        <v>46013</v>
      </c>
      <c r="K26" t="s">
        <v>50</v>
      </c>
      <c r="L26" t="s">
        <v>58</v>
      </c>
    </row>
    <row r="27" spans="1:12">
      <c r="A27" s="1">
        <v>46010</v>
      </c>
      <c r="B27" s="2">
        <v>0.434027777777778</v>
      </c>
      <c r="C27" t="s">
        <v>22</v>
      </c>
      <c r="D27" t="s">
        <v>89</v>
      </c>
      <c r="E27" t="s">
        <v>7</v>
      </c>
      <c r="F27" t="s">
        <v>71</v>
      </c>
      <c r="G27">
        <v>12</v>
      </c>
      <c r="H27" s="3">
        <v>29000</v>
      </c>
      <c r="I27" s="3">
        <f t="shared" si="0"/>
        <v>348000</v>
      </c>
      <c r="J27" s="1">
        <v>46014</v>
      </c>
      <c r="K27" t="s">
        <v>57</v>
      </c>
      <c r="L27" t="s">
        <v>43</v>
      </c>
    </row>
    <row r="28" spans="1:12">
      <c r="A28" s="1">
        <v>46011</v>
      </c>
      <c r="B28" s="2">
        <v>0.481944444444444</v>
      </c>
      <c r="C28" t="s">
        <v>25</v>
      </c>
      <c r="D28" t="s">
        <v>90</v>
      </c>
      <c r="E28" t="s">
        <v>8</v>
      </c>
      <c r="F28" t="s">
        <v>12</v>
      </c>
      <c r="G28">
        <v>5</v>
      </c>
      <c r="H28" s="3">
        <v>76500</v>
      </c>
      <c r="I28" s="3">
        <f t="shared" si="0"/>
        <v>382500</v>
      </c>
      <c r="J28" s="1">
        <v>46015</v>
      </c>
      <c r="K28" t="s">
        <v>42</v>
      </c>
      <c r="L28" t="s">
        <v>47</v>
      </c>
    </row>
    <row r="29" spans="1:12">
      <c r="A29" s="1">
        <v>46012</v>
      </c>
      <c r="B29" s="2">
        <v>0.807638888888889</v>
      </c>
      <c r="C29" t="s">
        <v>22</v>
      </c>
      <c r="D29" t="s">
        <v>91</v>
      </c>
      <c r="E29" t="s">
        <v>5</v>
      </c>
      <c r="F29" t="s">
        <v>53</v>
      </c>
      <c r="G29">
        <v>7</v>
      </c>
      <c r="H29" s="3">
        <v>29000</v>
      </c>
      <c r="I29" s="3">
        <f t="shared" si="0"/>
        <v>203000</v>
      </c>
      <c r="J29" s="1">
        <v>46016</v>
      </c>
      <c r="K29" t="s">
        <v>54</v>
      </c>
      <c r="L29" t="s">
        <v>51</v>
      </c>
    </row>
    <row r="30" spans="1:12">
      <c r="A30" s="1">
        <v>46013</v>
      </c>
      <c r="B30" s="2">
        <v>0.440277777777778</v>
      </c>
      <c r="C30" t="s">
        <v>27</v>
      </c>
      <c r="D30" t="s">
        <v>92</v>
      </c>
      <c r="E30" t="s">
        <v>6</v>
      </c>
      <c r="F30" t="s">
        <v>78</v>
      </c>
      <c r="G30">
        <v>6</v>
      </c>
      <c r="H30" s="3">
        <v>76000</v>
      </c>
      <c r="I30" s="3">
        <f t="shared" si="0"/>
        <v>456000</v>
      </c>
      <c r="J30" s="1">
        <v>46017</v>
      </c>
      <c r="K30" t="s">
        <v>46</v>
      </c>
      <c r="L30" t="s">
        <v>51</v>
      </c>
    </row>
    <row r="31" spans="1:12">
      <c r="A31" s="1">
        <v>46014</v>
      </c>
      <c r="B31" s="2">
        <v>0.497222222222222</v>
      </c>
      <c r="C31" t="s">
        <v>23</v>
      </c>
      <c r="D31" t="s">
        <v>93</v>
      </c>
      <c r="E31" t="s">
        <v>6</v>
      </c>
      <c r="F31" t="s">
        <v>69</v>
      </c>
      <c r="G31">
        <v>10</v>
      </c>
      <c r="H31" s="3">
        <v>94000</v>
      </c>
      <c r="I31" s="3">
        <f t="shared" si="0"/>
        <v>940000</v>
      </c>
      <c r="J31" s="1">
        <v>46018</v>
      </c>
      <c r="K31" t="s">
        <v>54</v>
      </c>
      <c r="L31" t="s">
        <v>47</v>
      </c>
    </row>
    <row r="32" spans="1:12">
      <c r="A32" s="1">
        <v>46015</v>
      </c>
      <c r="B32" s="2">
        <v>0.65</v>
      </c>
      <c r="C32" t="s">
        <v>19</v>
      </c>
      <c r="D32" t="s">
        <v>94</v>
      </c>
      <c r="E32" t="s">
        <v>4</v>
      </c>
      <c r="F32" t="s">
        <v>95</v>
      </c>
      <c r="G32">
        <v>40</v>
      </c>
      <c r="H32" s="3">
        <v>950</v>
      </c>
      <c r="I32" s="3">
        <f t="shared" si="0"/>
        <v>38000</v>
      </c>
      <c r="J32" s="1">
        <v>46019</v>
      </c>
      <c r="K32" t="s">
        <v>57</v>
      </c>
      <c r="L32" t="s">
        <v>51</v>
      </c>
    </row>
    <row r="33" spans="1:12">
      <c r="A33" s="1">
        <v>46016</v>
      </c>
      <c r="B33" s="2">
        <v>0.754861111111111</v>
      </c>
      <c r="C33" t="s">
        <v>26</v>
      </c>
      <c r="D33" t="s">
        <v>96</v>
      </c>
      <c r="E33" t="s">
        <v>5</v>
      </c>
      <c r="F33" t="s">
        <v>53</v>
      </c>
      <c r="G33">
        <v>5</v>
      </c>
      <c r="H33" s="3">
        <v>36000</v>
      </c>
      <c r="I33" s="3">
        <f t="shared" si="0"/>
        <v>180000</v>
      </c>
      <c r="J33" s="1">
        <v>46020</v>
      </c>
      <c r="K33" t="s">
        <v>46</v>
      </c>
      <c r="L33" t="s">
        <v>51</v>
      </c>
    </row>
    <row r="34" spans="1:12">
      <c r="A34" s="1">
        <v>46017</v>
      </c>
      <c r="B34" s="2">
        <v>0.835416666666667</v>
      </c>
      <c r="C34" t="s">
        <v>24</v>
      </c>
      <c r="D34" t="s">
        <v>97</v>
      </c>
      <c r="E34" t="s">
        <v>6</v>
      </c>
      <c r="F34" t="s">
        <v>41</v>
      </c>
      <c r="G34">
        <v>6</v>
      </c>
      <c r="H34" s="3">
        <v>84000</v>
      </c>
      <c r="I34" s="3">
        <f t="shared" si="0"/>
        <v>504000</v>
      </c>
      <c r="J34" s="1">
        <v>46021</v>
      </c>
      <c r="K34" t="s">
        <v>42</v>
      </c>
      <c r="L34" t="s">
        <v>43</v>
      </c>
    </row>
    <row r="35" spans="1:12">
      <c r="A35" s="1">
        <v>46018</v>
      </c>
      <c r="B35" s="2">
        <v>0.397222222222222</v>
      </c>
      <c r="C35" t="s">
        <v>28</v>
      </c>
      <c r="D35" t="s">
        <v>98</v>
      </c>
      <c r="E35" t="s">
        <v>4</v>
      </c>
      <c r="F35" t="s">
        <v>63</v>
      </c>
      <c r="G35">
        <v>5</v>
      </c>
      <c r="H35" s="3">
        <v>53000</v>
      </c>
      <c r="I35" s="3">
        <f t="shared" si="0"/>
        <v>265000</v>
      </c>
      <c r="J35" s="1">
        <v>46022</v>
      </c>
      <c r="K35" t="s">
        <v>46</v>
      </c>
      <c r="L35" t="s">
        <v>47</v>
      </c>
    </row>
    <row r="36" spans="1:12">
      <c r="A36" s="1">
        <v>46019</v>
      </c>
      <c r="B36" s="2">
        <v>0.690277777777778</v>
      </c>
      <c r="C36" t="s">
        <v>19</v>
      </c>
      <c r="D36" t="s">
        <v>99</v>
      </c>
      <c r="E36" t="s">
        <v>8</v>
      </c>
      <c r="F36" t="s">
        <v>12</v>
      </c>
      <c r="G36">
        <v>24</v>
      </c>
      <c r="H36" s="3">
        <v>950</v>
      </c>
      <c r="I36" s="3">
        <f t="shared" si="0"/>
        <v>22800</v>
      </c>
      <c r="J36" s="1">
        <v>46023</v>
      </c>
      <c r="K36" t="s">
        <v>50</v>
      </c>
      <c r="L36" t="s">
        <v>51</v>
      </c>
    </row>
    <row r="37" spans="1:12">
      <c r="A37" s="1">
        <v>46020</v>
      </c>
      <c r="B37" s="2">
        <v>0.800694444444444</v>
      </c>
      <c r="C37" t="s">
        <v>22</v>
      </c>
      <c r="D37" t="s">
        <v>100</v>
      </c>
      <c r="E37" t="s">
        <v>4</v>
      </c>
      <c r="F37" t="s">
        <v>45</v>
      </c>
      <c r="G37">
        <v>7</v>
      </c>
      <c r="H37" s="3">
        <v>29000</v>
      </c>
      <c r="I37" s="3">
        <f t="shared" si="0"/>
        <v>203000</v>
      </c>
      <c r="J37" s="1">
        <v>46024</v>
      </c>
      <c r="K37" t="s">
        <v>54</v>
      </c>
      <c r="L37" t="s">
        <v>51</v>
      </c>
    </row>
    <row r="38" spans="1:12">
      <c r="A38" s="1">
        <v>46021</v>
      </c>
      <c r="B38" s="2">
        <v>0.434027777777778</v>
      </c>
      <c r="C38" t="s">
        <v>25</v>
      </c>
      <c r="D38" t="s">
        <v>101</v>
      </c>
      <c r="E38" t="s">
        <v>5</v>
      </c>
      <c r="F38" t="s">
        <v>65</v>
      </c>
      <c r="G38">
        <v>5</v>
      </c>
      <c r="H38" s="3">
        <v>76500</v>
      </c>
      <c r="I38" s="3">
        <f t="shared" si="0"/>
        <v>382500</v>
      </c>
      <c r="J38" s="1">
        <v>46025</v>
      </c>
      <c r="K38" t="s">
        <v>57</v>
      </c>
      <c r="L38" t="s">
        <v>58</v>
      </c>
    </row>
    <row r="39" spans="1:12">
      <c r="A39" s="1">
        <v>46022</v>
      </c>
      <c r="B39" s="2">
        <v>0.481944444444444</v>
      </c>
      <c r="C39" t="s">
        <v>22</v>
      </c>
      <c r="D39" t="s">
        <v>102</v>
      </c>
      <c r="E39" t="s">
        <v>4</v>
      </c>
      <c r="F39" t="s">
        <v>95</v>
      </c>
      <c r="G39">
        <v>9</v>
      </c>
      <c r="H39" s="3">
        <v>29000</v>
      </c>
      <c r="I39" s="3">
        <f t="shared" si="0"/>
        <v>261000</v>
      </c>
      <c r="J39" s="1">
        <v>46026</v>
      </c>
      <c r="K39" t="s">
        <v>46</v>
      </c>
      <c r="L39" t="s">
        <v>43</v>
      </c>
    </row>
    <row r="40" spans="1:12">
      <c r="A40" s="1">
        <v>46023</v>
      </c>
      <c r="B40" s="2">
        <v>0.807638888888889</v>
      </c>
      <c r="C40" t="s">
        <v>27</v>
      </c>
      <c r="D40" t="s">
        <v>103</v>
      </c>
      <c r="E40" t="s">
        <v>6</v>
      </c>
      <c r="F40" t="s">
        <v>56</v>
      </c>
      <c r="G40">
        <v>4</v>
      </c>
      <c r="H40" s="3">
        <v>76000</v>
      </c>
      <c r="I40" s="3">
        <f t="shared" si="0"/>
        <v>304000</v>
      </c>
      <c r="J40" s="1">
        <v>46027</v>
      </c>
      <c r="K40" t="s">
        <v>42</v>
      </c>
      <c r="L40" t="s">
        <v>43</v>
      </c>
    </row>
    <row r="41" spans="1:12">
      <c r="A41" s="1">
        <v>46024</v>
      </c>
      <c r="B41" s="2">
        <v>0.440277777777778</v>
      </c>
      <c r="C41" t="s">
        <v>23</v>
      </c>
      <c r="D41" t="s">
        <v>104</v>
      </c>
      <c r="E41" t="s">
        <v>7</v>
      </c>
      <c r="F41" t="s">
        <v>71</v>
      </c>
      <c r="G41">
        <v>7</v>
      </c>
      <c r="H41" s="3">
        <v>94000</v>
      </c>
      <c r="I41" s="3">
        <f t="shared" si="0"/>
        <v>658000</v>
      </c>
      <c r="J41" s="1">
        <v>46028</v>
      </c>
      <c r="K41" t="s">
        <v>46</v>
      </c>
      <c r="L41" t="s">
        <v>51</v>
      </c>
    </row>
    <row r="42" spans="1:12">
      <c r="A42" s="1">
        <v>46025</v>
      </c>
      <c r="B42" s="2">
        <v>0.497222222222222</v>
      </c>
      <c r="C42" t="s">
        <v>26</v>
      </c>
      <c r="D42" t="s">
        <v>105</v>
      </c>
      <c r="E42" t="s">
        <v>8</v>
      </c>
      <c r="F42" t="s">
        <v>12</v>
      </c>
      <c r="G42">
        <v>4</v>
      </c>
      <c r="H42" s="3">
        <v>36000</v>
      </c>
      <c r="I42" s="3">
        <f t="shared" si="0"/>
        <v>144000</v>
      </c>
      <c r="J42" s="1">
        <v>46029</v>
      </c>
      <c r="K42" t="s">
        <v>50</v>
      </c>
      <c r="L42" t="s">
        <v>58</v>
      </c>
    </row>
    <row r="43" spans="1:12">
      <c r="A43" s="1">
        <v>46026</v>
      </c>
      <c r="B43" s="2">
        <v>0.65</v>
      </c>
      <c r="C43" t="s">
        <v>24</v>
      </c>
      <c r="D43" t="s">
        <v>106</v>
      </c>
      <c r="E43" t="s">
        <v>5</v>
      </c>
      <c r="F43" t="s">
        <v>53</v>
      </c>
      <c r="G43">
        <v>2</v>
      </c>
      <c r="H43" s="3">
        <v>84000</v>
      </c>
      <c r="I43" s="3">
        <f t="shared" si="0"/>
        <v>168000</v>
      </c>
      <c r="J43" s="1">
        <v>46030</v>
      </c>
      <c r="K43" t="s">
        <v>57</v>
      </c>
      <c r="L43" t="s">
        <v>43</v>
      </c>
    </row>
    <row r="44" spans="1:12">
      <c r="A44" s="1">
        <v>46027</v>
      </c>
      <c r="B44" s="2">
        <v>0.754861111111111</v>
      </c>
      <c r="C44" t="s">
        <v>28</v>
      </c>
      <c r="D44" t="s">
        <v>107</v>
      </c>
      <c r="E44" t="s">
        <v>7</v>
      </c>
      <c r="F44" t="s">
        <v>71</v>
      </c>
      <c r="G44">
        <v>6</v>
      </c>
      <c r="H44" s="3">
        <v>53000</v>
      </c>
      <c r="I44" s="3">
        <f t="shared" si="0"/>
        <v>318000</v>
      </c>
      <c r="J44" s="1">
        <v>46031</v>
      </c>
      <c r="K44" t="s">
        <v>42</v>
      </c>
      <c r="L44" t="s">
        <v>47</v>
      </c>
    </row>
    <row r="45" spans="1:12">
      <c r="A45" s="1">
        <v>46028</v>
      </c>
      <c r="B45" s="2">
        <v>0.835416666666667</v>
      </c>
      <c r="C45" t="s">
        <v>19</v>
      </c>
      <c r="D45" t="s">
        <v>108</v>
      </c>
      <c r="E45" t="s">
        <v>6</v>
      </c>
      <c r="F45" t="s">
        <v>41</v>
      </c>
      <c r="G45">
        <v>50</v>
      </c>
      <c r="H45" s="3">
        <v>950</v>
      </c>
      <c r="I45" s="3">
        <f t="shared" si="0"/>
        <v>47500</v>
      </c>
      <c r="J45" s="1">
        <v>46032</v>
      </c>
      <c r="K45" t="s">
        <v>54</v>
      </c>
      <c r="L45" t="s">
        <v>51</v>
      </c>
    </row>
    <row r="46" spans="1:12">
      <c r="A46" s="1">
        <v>46029</v>
      </c>
      <c r="B46" s="2">
        <v>0.397222222222222</v>
      </c>
      <c r="C46" t="s">
        <v>22</v>
      </c>
      <c r="D46" t="s">
        <v>109</v>
      </c>
      <c r="E46" t="s">
        <v>4</v>
      </c>
      <c r="F46" t="s">
        <v>110</v>
      </c>
      <c r="G46">
        <v>20</v>
      </c>
      <c r="H46" s="3">
        <v>29000</v>
      </c>
      <c r="I46" s="3">
        <f t="shared" si="0"/>
        <v>580000</v>
      </c>
      <c r="J46" s="1">
        <v>46033</v>
      </c>
      <c r="K46" t="s">
        <v>46</v>
      </c>
      <c r="L46" t="s">
        <v>51</v>
      </c>
    </row>
    <row r="47" spans="1:12">
      <c r="A47" s="1">
        <v>46030</v>
      </c>
      <c r="B47" s="2">
        <v>0.690277777777778</v>
      </c>
      <c r="C47" t="s">
        <v>25</v>
      </c>
      <c r="D47" t="s">
        <v>111</v>
      </c>
      <c r="E47" t="s">
        <v>5</v>
      </c>
      <c r="F47" t="s">
        <v>65</v>
      </c>
      <c r="G47">
        <v>12</v>
      </c>
      <c r="H47" s="3">
        <v>76000</v>
      </c>
      <c r="I47" s="3">
        <f t="shared" si="0"/>
        <v>912000</v>
      </c>
      <c r="J47" s="1">
        <v>46034</v>
      </c>
      <c r="K47" t="s">
        <v>54</v>
      </c>
      <c r="L47" t="s">
        <v>47</v>
      </c>
    </row>
    <row r="48" spans="1:12">
      <c r="A48" s="1">
        <v>46031</v>
      </c>
      <c r="B48" s="2">
        <v>0.800694444444444</v>
      </c>
      <c r="C48" t="s">
        <v>22</v>
      </c>
      <c r="D48" t="s">
        <v>112</v>
      </c>
      <c r="E48" t="s">
        <v>6</v>
      </c>
      <c r="F48" t="s">
        <v>69</v>
      </c>
      <c r="G48">
        <v>10</v>
      </c>
      <c r="H48" s="3">
        <v>29000</v>
      </c>
      <c r="I48" s="3">
        <f t="shared" si="0"/>
        <v>290000</v>
      </c>
      <c r="J48" s="1">
        <v>46035</v>
      </c>
      <c r="K48" t="s">
        <v>57</v>
      </c>
      <c r="L48" t="s">
        <v>51</v>
      </c>
    </row>
    <row r="49" spans="1:12">
      <c r="A49" s="1">
        <v>46032</v>
      </c>
      <c r="B49" s="2">
        <v>0.434027777777778</v>
      </c>
      <c r="C49" t="s">
        <v>27</v>
      </c>
      <c r="D49" t="s">
        <v>113</v>
      </c>
      <c r="E49" t="s">
        <v>4</v>
      </c>
      <c r="F49" t="s">
        <v>110</v>
      </c>
      <c r="G49">
        <v>5</v>
      </c>
      <c r="H49" s="3">
        <v>76000</v>
      </c>
      <c r="I49" s="3">
        <f t="shared" si="0"/>
        <v>380000</v>
      </c>
      <c r="J49" s="1">
        <v>46036</v>
      </c>
      <c r="K49" t="s">
        <v>46</v>
      </c>
      <c r="L49" t="s">
        <v>51</v>
      </c>
    </row>
    <row r="50" spans="1:12">
      <c r="A50" s="1">
        <v>46033</v>
      </c>
      <c r="B50" s="2">
        <v>0.481944444444444</v>
      </c>
      <c r="C50" t="s">
        <v>23</v>
      </c>
      <c r="D50" t="s">
        <v>114</v>
      </c>
      <c r="E50" t="s">
        <v>8</v>
      </c>
      <c r="F50" t="s">
        <v>12</v>
      </c>
      <c r="G50">
        <v>8</v>
      </c>
      <c r="H50" s="3">
        <v>94000</v>
      </c>
      <c r="I50" s="3">
        <f t="shared" si="0"/>
        <v>752000</v>
      </c>
      <c r="J50" s="1">
        <v>46037</v>
      </c>
      <c r="K50" t="s">
        <v>42</v>
      </c>
      <c r="L50" t="s">
        <v>43</v>
      </c>
    </row>
    <row r="51" spans="1:12">
      <c r="A51" s="1">
        <v>46034</v>
      </c>
      <c r="B51" s="2">
        <v>0.807638888888889</v>
      </c>
      <c r="C51" t="s">
        <v>26</v>
      </c>
      <c r="D51" t="s">
        <v>115</v>
      </c>
      <c r="E51" t="s">
        <v>4</v>
      </c>
      <c r="F51" t="s">
        <v>60</v>
      </c>
      <c r="G51">
        <v>3</v>
      </c>
      <c r="H51" s="3">
        <v>36000</v>
      </c>
      <c r="I51" s="3">
        <f t="shared" si="0"/>
        <v>108000</v>
      </c>
      <c r="J51" s="1">
        <v>46038</v>
      </c>
      <c r="K51" t="s">
        <v>46</v>
      </c>
      <c r="L51" t="s">
        <v>47</v>
      </c>
    </row>
    <row r="52" spans="1:12">
      <c r="A52" s="1">
        <v>46035</v>
      </c>
      <c r="B52" s="2">
        <v>0.440277777777778</v>
      </c>
      <c r="C52" t="s">
        <v>24</v>
      </c>
      <c r="D52" t="s">
        <v>116</v>
      </c>
      <c r="E52" t="s">
        <v>5</v>
      </c>
      <c r="F52" t="s">
        <v>53</v>
      </c>
      <c r="G52">
        <v>5</v>
      </c>
      <c r="H52" s="3">
        <v>84000</v>
      </c>
      <c r="I52" s="3">
        <f t="shared" si="0"/>
        <v>420000</v>
      </c>
      <c r="J52" s="1">
        <v>46039</v>
      </c>
      <c r="K52" t="s">
        <v>50</v>
      </c>
      <c r="L52" t="s">
        <v>51</v>
      </c>
    </row>
    <row r="53" spans="1:12">
      <c r="A53" s="1">
        <v>46036</v>
      </c>
      <c r="B53" s="2">
        <v>0.497222222222222</v>
      </c>
      <c r="C53" t="s">
        <v>28</v>
      </c>
      <c r="D53" t="s">
        <v>117</v>
      </c>
      <c r="E53" t="s">
        <v>4</v>
      </c>
      <c r="F53" t="s">
        <v>118</v>
      </c>
      <c r="G53">
        <v>7</v>
      </c>
      <c r="H53" s="3">
        <v>53000</v>
      </c>
      <c r="I53" s="3">
        <f t="shared" si="0"/>
        <v>371000</v>
      </c>
      <c r="J53" s="1">
        <v>46040</v>
      </c>
      <c r="K53" t="s">
        <v>54</v>
      </c>
      <c r="L53" t="s">
        <v>51</v>
      </c>
    </row>
    <row r="54" spans="1:12">
      <c r="A54" s="1">
        <v>46037</v>
      </c>
      <c r="B54" s="2">
        <v>0.65</v>
      </c>
      <c r="C54" t="s">
        <v>19</v>
      </c>
      <c r="D54" t="s">
        <v>119</v>
      </c>
      <c r="E54" t="s">
        <v>6</v>
      </c>
      <c r="F54" t="s">
        <v>120</v>
      </c>
      <c r="G54">
        <v>12</v>
      </c>
      <c r="H54" s="3">
        <v>950</v>
      </c>
      <c r="I54" s="3">
        <f t="shared" si="0"/>
        <v>11400</v>
      </c>
      <c r="J54" s="1">
        <v>46041</v>
      </c>
      <c r="K54" t="s">
        <v>57</v>
      </c>
      <c r="L54" t="s">
        <v>58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Pivot Data</vt:lpstr>
      <vt:lpstr>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saqib Rafeeq</dc:creator>
  <cp:lastModifiedBy>saqib Rafeeq</cp:lastModifiedBy>
  <dcterms:created xsi:type="dcterms:W3CDTF">2026-01-17T17:27:00Z</dcterms:created>
  <dcterms:modified xsi:type="dcterms:W3CDTF">2026-05-12T07:19:14Z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BC84DBCC48994630A2261B9C4D654BE2_13</vt:lpwstr>
  </property>
  <property fmtid="{D5CDD505-2E9C-101B-9397-08002B2CF9AE}" pid="3" name="KSOProductBuildVer">
    <vt:lpwstr>1033-12.2.0.23131</vt:lpwstr>
  </property>
</Properties>
</file>