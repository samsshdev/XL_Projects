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Productivity\Spreadsheets\"/>
    </mc:Choice>
  </mc:AlternateContent>
  <bookViews>
    <workbookView xWindow="0" yWindow="0" windowWidth="20490" windowHeight="7665"/>
  </bookViews>
  <sheets>
    <sheet name="Purchase_Entry" sheetId="4" r:id="rId1"/>
    <sheet name="Sales_Entry" sheetId="5" r:id="rId2"/>
    <sheet name="Purchase" sheetId="2" r:id="rId3"/>
    <sheet name="Sales" sheetId="3" r:id="rId4"/>
    <sheet name="Stock" sheetId="1" r:id="rId5"/>
    <sheet name="Purchase_Report" sheetId="6" r:id="rId6"/>
    <sheet name="Sales_Report" sheetId="7" r:id="rId7"/>
  </sheets>
  <calcPr calcId="162913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5" l="1"/>
  <c r="B10" i="1" l="1"/>
  <c r="C10" i="1"/>
  <c r="I12" i="4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C2" i="1"/>
  <c r="I12" i="5" l="1"/>
  <c r="B2" i="1"/>
  <c r="N6" i="5" l="1"/>
</calcChain>
</file>

<file path=xl/sharedStrings.xml><?xml version="1.0" encoding="utf-8"?>
<sst xmlns="http://schemas.openxmlformats.org/spreadsheetml/2006/main" count="86" uniqueCount="30">
  <si>
    <t>Name</t>
  </si>
  <si>
    <t>Unit Price</t>
  </si>
  <si>
    <t>Quantity</t>
  </si>
  <si>
    <t>Purchase Entry</t>
  </si>
  <si>
    <t>Total Price</t>
  </si>
  <si>
    <t>Date</t>
  </si>
  <si>
    <t>Time</t>
  </si>
  <si>
    <t>Dell Laptop</t>
  </si>
  <si>
    <t>HP Laptop</t>
  </si>
  <si>
    <t>Lenovo Laptop</t>
  </si>
  <si>
    <t>Sales Entry</t>
  </si>
  <si>
    <t>Stock</t>
  </si>
  <si>
    <t>Samsung LED</t>
  </si>
  <si>
    <t>SanDisk USB</t>
  </si>
  <si>
    <t>DDR5 32 GB RAM</t>
  </si>
  <si>
    <t>Vivo Smartphone</t>
  </si>
  <si>
    <t>Samsung LED Monitor</t>
  </si>
  <si>
    <t>Dell Laptop 2</t>
  </si>
  <si>
    <t>Grand Total</t>
  </si>
  <si>
    <t>Sum of Total Price</t>
  </si>
  <si>
    <t>DDR5 32 GB RAM Total</t>
  </si>
  <si>
    <t>Dell Laptop Total</t>
  </si>
  <si>
    <t>Dell Laptop 2 Total</t>
  </si>
  <si>
    <t>HP Laptop Total</t>
  </si>
  <si>
    <t>Lenovo Laptop Total</t>
  </si>
  <si>
    <t>Samsung LED Total</t>
  </si>
  <si>
    <t>Samsung LED Monitor Total</t>
  </si>
  <si>
    <t>SanDisk USB Total</t>
  </si>
  <si>
    <t>Vivo Smartphone Total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</si>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</sst>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Rs&quot;#,##0.00;[Red]\-&quot;Rs&quot;#,##0.00"/>
    <numFmt numFmtId="164" formatCode="[$-F400]h:mm:ss\ AM/PM"/>
  </numFmts>
  <fonts count="15" x14ac:knownFonts="1"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8"/>
      <color rgb="FF0070C0"/>
      <name val="Oswald"/>
    </font>
    <font>
      <sz val="11"/>
      <color rgb="FFC00000"/>
      <name val="Arial"/>
      <family val="2"/>
    </font>
    <font>
      <b/>
      <sz val="11"/>
      <color rgb="FFC00000"/>
      <name val="Product Sans"/>
      <family val="2"/>
    </font>
    <font>
      <sz val="12"/>
      <color theme="1"/>
      <name val="Product Sans"/>
      <family val="2"/>
    </font>
    <font>
      <b/>
      <sz val="11"/>
      <color rgb="FF0070C0"/>
      <name val="Product Sans"/>
      <family val="2"/>
    </font>
    <font>
      <b/>
      <sz val="11"/>
      <color theme="0"/>
      <name val="Product Sans"/>
      <family val="2"/>
    </font>
    <font>
      <b/>
      <sz val="18"/>
      <color rgb="FFC00000"/>
      <name val="Oswald"/>
    </font>
    <font>
      <b/>
      <sz val="11"/>
      <color theme="1"/>
      <name val="Oswald"/>
    </font>
    <font>
      <b/>
      <sz val="12"/>
      <color theme="1"/>
      <name val="Oswald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rgb="FF0070C0"/>
      <name val="Arial"/>
      <family val="2"/>
    </font>
    <font>
      <b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0070C0"/>
      </top>
      <bottom/>
      <diagonal/>
    </border>
    <border>
      <left/>
      <right/>
      <top/>
      <bottom style="medium">
        <color rgb="FF0070C0"/>
      </bottom>
      <diagonal/>
    </border>
    <border>
      <left/>
      <right/>
      <top style="medium">
        <color rgb="FFC00000"/>
      </top>
      <bottom/>
      <diagonal/>
    </border>
    <border>
      <left/>
      <right/>
      <top/>
      <bottom style="medium">
        <color rgb="FFC00000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2" borderId="0" xfId="0" applyFont="1" applyFill="1" applyAlignment="1">
      <alignment horizontal="left" vertical="center"/>
    </xf>
    <xf numFmtId="0" fontId="4" fillId="2" borderId="0" xfId="0" applyFont="1" applyFill="1" applyAlignment="1"/>
    <xf numFmtId="0" fontId="0" fillId="2" borderId="0" xfId="0" applyFont="1" applyFill="1"/>
    <xf numFmtId="0" fontId="5" fillId="2" borderId="0" xfId="0" applyFont="1" applyFill="1"/>
    <xf numFmtId="0" fontId="7" fillId="3" borderId="0" xfId="0" applyFont="1" applyFill="1"/>
    <xf numFmtId="8" fontId="7" fillId="3" borderId="0" xfId="0" applyNumberFormat="1" applyFont="1" applyFill="1"/>
    <xf numFmtId="8" fontId="0" fillId="0" borderId="0" xfId="0" applyNumberFormat="1"/>
    <xf numFmtId="14" fontId="7" fillId="3" borderId="0" xfId="0" applyNumberFormat="1" applyFont="1" applyFill="1"/>
    <xf numFmtId="14" fontId="0" fillId="0" borderId="0" xfId="0" applyNumberFormat="1"/>
    <xf numFmtId="164" fontId="7" fillId="3" borderId="0" xfId="0" applyNumberFormat="1" applyFont="1" applyFill="1"/>
    <xf numFmtId="164" fontId="0" fillId="0" borderId="0" xfId="0" applyNumberFormat="1"/>
    <xf numFmtId="0" fontId="6" fillId="2" borderId="0" xfId="0" applyFont="1" applyFill="1" applyAlignment="1"/>
    <xf numFmtId="0" fontId="3" fillId="2" borderId="0" xfId="0" applyFont="1" applyFill="1"/>
    <xf numFmtId="0" fontId="7" fillId="5" borderId="0" xfId="0" applyFont="1" applyFill="1"/>
    <xf numFmtId="18" fontId="0" fillId="0" borderId="0" xfId="0" applyNumberFormat="1"/>
    <xf numFmtId="14" fontId="7" fillId="4" borderId="0" xfId="0" applyNumberFormat="1" applyFont="1" applyFill="1" applyBorder="1"/>
    <xf numFmtId="8" fontId="7" fillId="5" borderId="0" xfId="0" applyNumberFormat="1" applyFont="1" applyFill="1"/>
    <xf numFmtId="0" fontId="7" fillId="3" borderId="0" xfId="0" applyNumberFormat="1" applyFont="1" applyFill="1"/>
    <xf numFmtId="0" fontId="0" fillId="0" borderId="0" xfId="0" applyNumberFormat="1"/>
    <xf numFmtId="0" fontId="4" fillId="2" borderId="5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14" fontId="1" fillId="2" borderId="0" xfId="0" applyNumberFormat="1" applyFont="1" applyFill="1"/>
    <xf numFmtId="0" fontId="0" fillId="0" borderId="0" xfId="0" applyFont="1"/>
    <xf numFmtId="8" fontId="12" fillId="4" borderId="0" xfId="0" applyNumberFormat="1" applyFont="1" applyFill="1"/>
    <xf numFmtId="0" fontId="0" fillId="3" borderId="0" xfId="0" applyFill="1"/>
    <xf numFmtId="8" fontId="12" fillId="3" borderId="0" xfId="0" applyNumberFormat="1" applyFont="1" applyFill="1"/>
    <xf numFmtId="0" fontId="12" fillId="4" borderId="0" xfId="0" applyFont="1" applyFill="1"/>
    <xf numFmtId="8" fontId="11" fillId="0" borderId="0" xfId="0" applyNumberFormat="1" applyFont="1"/>
    <xf numFmtId="0" fontId="0" fillId="0" borderId="0" xfId="0" applyAlignment="1">
      <alignment horizontal="left"/>
    </xf>
    <xf numFmtId="0" fontId="13" fillId="0" borderId="0" xfId="0" applyFont="1" applyAlignment="1">
      <alignment horizontal="left"/>
    </xf>
    <xf numFmtId="0" fontId="13" fillId="0" borderId="0" xfId="0" applyFont="1" applyAlignment="1">
      <alignment horizontal="left" inden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12" fillId="4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12" fillId="3" borderId="0" xfId="0" applyFont="1" applyFill="1" applyAlignment="1">
      <alignment horizontal="left"/>
    </xf>
    <xf numFmtId="164" fontId="0" fillId="0" borderId="0" xfId="0" applyNumberFormat="1"/>
    <xf numFmtId="164" fontId="0" fillId="0" borderId="0" xfId="0" applyNumberFormat="1" applyBorder="1"/>
    <xf numFmtId="0" fontId="14" fillId="0" borderId="0" xfId="0" applyFont="1" applyAlignment="1">
      <alignment horizontal="left" indent="1"/>
    </xf>
    <xf numFmtId="0" fontId="7" fillId="4" borderId="6" xfId="0" applyFont="1" applyFill="1" applyBorder="1"/>
    <xf numFmtId="8" fontId="7" fillId="4" borderId="0" xfId="0" applyNumberFormat="1" applyFont="1" applyFill="1" applyBorder="1"/>
    <xf numFmtId="0" fontId="7" fillId="4" borderId="0" xfId="0" applyNumberFormat="1" applyFont="1" applyFill="1" applyBorder="1"/>
    <xf numFmtId="164" fontId="7" fillId="4" borderId="7" xfId="0" applyNumberFormat="1" applyFont="1" applyFill="1" applyBorder="1"/>
    <xf numFmtId="0" fontId="1" fillId="2" borderId="0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/>
    </xf>
    <xf numFmtId="18" fontId="5" fillId="2" borderId="1" xfId="0" applyNumberFormat="1" applyFont="1" applyFill="1" applyBorder="1" applyAlignment="1">
      <alignment horizontal="center"/>
    </xf>
    <xf numFmtId="8" fontId="5" fillId="2" borderId="1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70"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ill>
        <patternFill patternType="solid">
          <bgColor rgb="FFC00000"/>
        </patternFill>
      </fill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C00000"/>
        </patternFill>
      </fill>
    </dxf>
    <dxf>
      <fill>
        <patternFill patternType="solid">
          <bgColor rgb="FFC00000"/>
        </patternFill>
      </fill>
    </dxf>
    <dxf>
      <fill>
        <patternFill patternType="solid">
          <bgColor rgb="FFC00000"/>
        </patternFill>
      </fill>
    </dxf>
    <dxf>
      <fill>
        <patternFill patternType="solid">
          <bgColor rgb="FFC00000"/>
        </patternFill>
      </fill>
    </dxf>
    <dxf>
      <numFmt numFmtId="12" formatCode="&quot;Rs&quot;#,##0.00;[Red]\-&quot;Rs&quot;#,##0.00"/>
    </dxf>
    <dxf>
      <numFmt numFmtId="12" formatCode="&quot;Rs&quot;#,##0.00;[Red]\-&quot;Rs&quot;#,##0.00"/>
    </dxf>
    <dxf>
      <numFmt numFmtId="12" formatCode="&quot;Rs&quot;#,##0.00;[Red]\-&quot;Rs&quot;#,##0.00"/>
    </dxf>
    <dxf>
      <font>
        <color theme="0"/>
      </font>
    </dxf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 patternType="solid">
          <bgColor rgb="FFFB898C"/>
        </patternFill>
      </fill>
    </dxf>
    <dxf>
      <fill>
        <patternFill patternType="solid">
          <bgColor rgb="FFFB898C"/>
        </patternFill>
      </fill>
    </dxf>
    <dxf>
      <fill>
        <patternFill patternType="solid">
          <bgColor rgb="FFFB898C"/>
        </patternFill>
      </fill>
    </dxf>
    <dxf>
      <fill>
        <patternFill patternType="solid">
          <bgColor rgb="FFFB898C"/>
        </patternFill>
      </fill>
    </dxf>
    <dxf>
      <numFmt numFmtId="12" formatCode="&quot;Rs&quot;#,##0.00;[Red]\-&quot;Rs&quot;#,##0.00"/>
    </dxf>
    <dxf>
      <numFmt numFmtId="12" formatCode="&quot;Rs&quot;#,##0.00;[Red]\-&quot;Rs&quot;#,##0.00"/>
    </dxf>
    <dxf>
      <numFmt numFmtId="12" formatCode="&quot;Rs&quot;#,##0.00;[Red]\-&quot;Rs&quot;#,##0.00"/>
    </dxf>
    <dxf>
      <numFmt numFmtId="0" formatCode="General"/>
    </dxf>
    <dxf>
      <numFmt numFmtId="12" formatCode="&quot;Rs&quot;#,##0.00;[Red]\-&quot;Rs&quot;#,##0.00"/>
    </dxf>
    <dxf>
      <fill>
        <patternFill>
          <bgColor rgb="FFFDA1AA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numFmt numFmtId="164" formatCode="[$-F400]h:mm:ss\ AM/PM"/>
    </dxf>
    <dxf>
      <numFmt numFmtId="19" formatCode="dd/mm/yyyy"/>
    </dxf>
    <dxf>
      <numFmt numFmtId="12" formatCode="&quot;Rs&quot;#,##0.00;[Red]\-&quot;Rs&quot;#,##0.00"/>
    </dxf>
    <dxf>
      <numFmt numFmtId="12" formatCode="&quot;Rs&quot;#,##0.00;[Red]\-&quot;Rs&quot;#,##0.00"/>
    </dxf>
    <dxf>
      <border outline="0">
        <top style="thin">
          <color theme="4" tint="0.39997558519241921"/>
        </top>
      </border>
    </dxf>
    <dxf>
      <numFmt numFmtId="164" formatCode="[$-F400]h:mm:ss\ AM/PM"/>
    </dxf>
    <dxf>
      <numFmt numFmtId="19" formatCode="dd/mm/yyyy"/>
    </dxf>
    <dxf>
      <numFmt numFmtId="12" formatCode="&quot;Rs&quot;#,##0.00;[Red]\-&quot;Rs&quot;#,##0.00"/>
    </dxf>
    <dxf>
      <numFmt numFmtId="0" formatCode="General"/>
    </dxf>
    <dxf>
      <numFmt numFmtId="12" formatCode="&quot;Rs&quot;#,##0.00;[Red]\-&quot;Rs&quot;#,##0.00"/>
    </dxf>
  </dxfs>
  <tableStyles count="0" defaultTableStyle="TableStyleMedium2" defaultPivotStyle="PivotStyleLight16"/>
  <colors>
    <mruColors>
      <color rgb="FFFF2D2D"/>
      <color rgb="FFEB4347"/>
      <color rgb="FFFB898C"/>
      <color rgb="FFFDA1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485775</xdr:colOff>
      <xdr:row>17</xdr:row>
      <xdr:rowOff>123825</xdr:rowOff>
    </xdr:from>
    <xdr:to>
      <xdr:col>8</xdr:col>
      <xdr:colOff>762000</xdr:colOff>
      <xdr:row>19</xdr:row>
      <xdr:rowOff>38100</xdr:rowOff>
    </xdr:to>
    <xdr:sp macro="[0]!Purchase_macro" textlink="">
      <xdr:nvSpPr>
        <xdr:cNvPr id="2" name="Rounded Rectangle 1"/>
        <xdr:cNvSpPr/>
      </xdr:nvSpPr>
      <xdr:spPr>
        <a:xfrm>
          <a:off x="5286375" y="3419475"/>
          <a:ext cx="962025" cy="276225"/>
        </a:xfrm>
        <a:prstGeom prst="roundRect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Product Sans" panose="020B0403030502040203" pitchFamily="34" charset="0"/>
            </a:rPr>
            <a:t>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466725</xdr:colOff>
      <xdr:row>17</xdr:row>
      <xdr:rowOff>114300</xdr:rowOff>
    </xdr:from>
    <xdr:to>
      <xdr:col>8</xdr:col>
      <xdr:colOff>742950</xdr:colOff>
      <xdr:row>19</xdr:row>
      <xdr:rowOff>28575</xdr:rowOff>
    </xdr:to>
    <xdr:sp macro="[0]!Sales_macro" textlink="">
      <xdr:nvSpPr>
        <xdr:cNvPr id="2" name="Rounded Rectangle 1"/>
        <xdr:cNvSpPr/>
      </xdr:nvSpPr>
      <xdr:spPr>
        <a:xfrm>
          <a:off x="5267325" y="3381375"/>
          <a:ext cx="962025" cy="276225"/>
        </a:xfrm>
        <a:prstGeom prst="roundRect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Product Sans" panose="020B0403030502040203" pitchFamily="34" charset="0"/>
            </a:rPr>
            <a:t>Update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qib Rafeeq" refreshedDate="46042.526645601851" createdVersion="6" refreshedVersion="6" minRefreshableVersion="3" recordCount="13">
  <cacheSource type="worksheet">
    <worksheetSource name="Table2"/>
  </cacheSource>
  <cacheFields count="6">
    <cacheField name="Name" numFmtId="0">
      <sharedItems containsBlank="1" count="10">
        <s v="Lenovo Laptop"/>
        <s v="Dell Laptop"/>
        <s v="Samsung LED"/>
        <s v="SanDisk USB"/>
        <s v="DDR5 32 GB RAM"/>
        <s v="Vivo Smartphone"/>
        <s v="HP Laptop"/>
        <s v="Samsung LED Monitor"/>
        <s v="Dell Laptop 2"/>
        <m u="1"/>
      </sharedItems>
    </cacheField>
    <cacheField name="Unit Price" numFmtId="8">
      <sharedItems containsSemiMixedTypes="0" containsString="0" containsNumber="1" containsInteger="1" minValue="1000" maxValue="85500"/>
    </cacheField>
    <cacheField name="Quantity" numFmtId="0">
      <sharedItems containsSemiMixedTypes="0" containsString="0" containsNumber="1" containsInteger="1" minValue="5" maxValue="15" count="6">
        <n v="5"/>
        <n v="12"/>
        <n v="15"/>
        <n v="10"/>
        <n v="7"/>
        <n v="8"/>
      </sharedItems>
    </cacheField>
    <cacheField name="Total Price" numFmtId="8">
      <sharedItems containsSemiMixedTypes="0" containsString="0" containsNumber="1" containsInteger="1" minValue="12000" maxValue="1020000"/>
    </cacheField>
    <cacheField name="Date" numFmtId="14">
      <sharedItems containsSemiMixedTypes="0" containsNonDate="0" containsDate="1" containsString="0" minDate="2026-01-19T00:00:00" maxDate="2026-01-21T00:00:00"/>
    </cacheField>
    <cacheField name="Time" numFmtId="164">
      <sharedItems containsSemiMixedTypes="0" containsNonDate="0" containsDate="1" containsString="0" minDate="1899-12-30T10:47:00" maxDate="1899-12-30T23:28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aqib Rafeeq" refreshedDate="46042.527421296298" createdVersion="6" refreshedVersion="6" minRefreshableVersion="3" recordCount="3">
  <cacheSource type="worksheet">
    <worksheetSource name="Table3"/>
  </cacheSource>
  <cacheFields count="6">
    <cacheField name="Name" numFmtId="0">
      <sharedItems count="3">
        <s v="Vivo Smartphone"/>
        <s v="DDR5 32 GB RAM"/>
        <s v="HP Laptop"/>
      </sharedItems>
    </cacheField>
    <cacheField name="Unit Price" numFmtId="8">
      <sharedItems containsSemiMixedTypes="0" containsString="0" containsNumber="1" containsInteger="1" minValue="31500" maxValue="68250"/>
    </cacheField>
    <cacheField name="Quantity" numFmtId="0">
      <sharedItems containsSemiMixedTypes="0" containsString="0" containsNumber="1" containsInteger="1" minValue="3" maxValue="5" count="2">
        <n v="3"/>
        <n v="5"/>
      </sharedItems>
    </cacheField>
    <cacheField name="Total Price" numFmtId="8">
      <sharedItems containsSemiMixedTypes="0" containsString="0" containsNumber="1" containsInteger="1" minValue="141750" maxValue="204750"/>
    </cacheField>
    <cacheField name="Date" numFmtId="14">
      <sharedItems containsSemiMixedTypes="0" containsNonDate="0" containsDate="1" containsString="0" minDate="2026-01-20T00:00:00" maxDate="2026-01-21T00:00:00"/>
    </cacheField>
    <cacheField name="Time" numFmtId="164">
      <sharedItems containsSemiMixedTypes="0" containsNonDate="0" containsDate="1" containsString="0" minDate="1899-12-30T12:35:00" maxDate="1899-12-30T12:37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">
  <r>
    <x v="0"/>
    <n v="75500"/>
    <x v="0"/>
    <n v="377500"/>
    <d v="2026-01-19T00:00:00"/>
    <d v="1899-12-30T22:12:00"/>
  </r>
  <r>
    <x v="1"/>
    <n v="85000"/>
    <x v="1"/>
    <n v="1020000"/>
    <d v="2026-01-19T00:00:00"/>
    <d v="1899-12-30T22:13:00"/>
  </r>
  <r>
    <x v="2"/>
    <n v="36000"/>
    <x v="2"/>
    <n v="540000"/>
    <d v="2026-01-19T00:00:00"/>
    <d v="1899-12-30T22:36:00"/>
  </r>
  <r>
    <x v="3"/>
    <n v="1000"/>
    <x v="2"/>
    <n v="15000"/>
    <d v="2026-01-19T00:00:00"/>
    <d v="1899-12-30T22:38:00"/>
  </r>
  <r>
    <x v="4"/>
    <n v="30000"/>
    <x v="3"/>
    <n v="300000"/>
    <d v="2026-01-19T00:00:00"/>
    <d v="1899-12-30T22:38:00"/>
  </r>
  <r>
    <x v="5"/>
    <n v="45000"/>
    <x v="0"/>
    <n v="225000"/>
    <d v="2026-01-19T00:00:00"/>
    <d v="1899-12-30T22:50:00"/>
  </r>
  <r>
    <x v="6"/>
    <n v="65000"/>
    <x v="4"/>
    <n v="455000"/>
    <d v="2026-01-19T00:00:00"/>
    <d v="1899-12-30T22:53:00"/>
  </r>
  <r>
    <x v="7"/>
    <n v="35000"/>
    <x v="1"/>
    <n v="420000"/>
    <d v="2026-01-19T00:00:00"/>
    <d v="1899-12-30T23:28:00"/>
  </r>
  <r>
    <x v="0"/>
    <n v="75500"/>
    <x v="5"/>
    <n v="604000"/>
    <d v="2026-01-20T00:00:00"/>
    <d v="1899-12-30T10:47:00"/>
  </r>
  <r>
    <x v="1"/>
    <n v="85500"/>
    <x v="0"/>
    <n v="427500"/>
    <d v="2026-01-20T00:00:00"/>
    <d v="1899-12-30T10:59:00"/>
  </r>
  <r>
    <x v="8"/>
    <n v="69000"/>
    <x v="0"/>
    <n v="345000"/>
    <d v="2026-01-20T00:00:00"/>
    <d v="1899-12-30T11:07:00"/>
  </r>
  <r>
    <x v="3"/>
    <n v="1000"/>
    <x v="1"/>
    <n v="12000"/>
    <d v="2026-01-20T00:00:00"/>
    <d v="1899-12-30T11:15:00"/>
  </r>
  <r>
    <x v="6"/>
    <n v="65000"/>
    <x v="0"/>
    <n v="325000"/>
    <d v="2026-01-20T00:00:00"/>
    <d v="1899-12-30T11:22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n v="47250"/>
    <x v="0"/>
    <n v="141750"/>
    <d v="2026-01-20T00:00:00"/>
    <d v="1899-12-30T12:35:00"/>
  </r>
  <r>
    <x v="1"/>
    <n v="31500"/>
    <x v="1"/>
    <n v="157500"/>
    <d v="2026-01-20T00:00:00"/>
    <d v="1899-12-30T12:36:00"/>
  </r>
  <r>
    <x v="2"/>
    <n v="68250"/>
    <x v="0"/>
    <n v="204750"/>
    <d v="2026-01-20T00:00:00"/>
    <d v="1899-12-30T12:37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B42" firstHeaderRow="1" firstDataRow="1" firstDataCol="1"/>
  <pivotFields count="6">
    <pivotField axis="axisRow" subtotalTop="0" showAll="0" insertBlankRow="1">
      <items count="11">
        <item x="4"/>
        <item x="1"/>
        <item x="8"/>
        <item x="6"/>
        <item x="0"/>
        <item x="2"/>
        <item x="7"/>
        <item x="3"/>
        <item x="5"/>
        <item m="1" x="9"/>
        <item t="default"/>
      </items>
    </pivotField>
    <pivotField numFmtId="8" subtotalTop="0" showAll="0" insertBlankRow="1"/>
    <pivotField axis="axisRow" subtotalTop="0" showAll="0" insertBlankRow="1">
      <items count="7">
        <item x="0"/>
        <item x="4"/>
        <item x="5"/>
        <item x="3"/>
        <item x="1"/>
        <item x="2"/>
        <item t="default"/>
      </items>
    </pivotField>
    <pivotField dataField="1" numFmtId="8" subtotalTop="0" showAll="0" insertBlankRow="1"/>
    <pivotField numFmtId="14" subtotalTop="0" showAll="0" insertBlankRow="1"/>
    <pivotField numFmtId="164" subtotalTop="0" showAll="0" insertBlankRow="1"/>
  </pivotFields>
  <rowFields count="2">
    <field x="0"/>
    <field x="2"/>
  </rowFields>
  <rowItems count="41">
    <i>
      <x/>
    </i>
    <i r="1">
      <x v="3"/>
    </i>
    <i t="default">
      <x/>
    </i>
    <i t="blank">
      <x/>
    </i>
    <i>
      <x v="1"/>
    </i>
    <i r="1">
      <x/>
    </i>
    <i r="1">
      <x v="4"/>
    </i>
    <i t="default">
      <x v="1"/>
    </i>
    <i t="blank">
      <x v="1"/>
    </i>
    <i>
      <x v="2"/>
    </i>
    <i r="1">
      <x/>
    </i>
    <i t="default">
      <x v="2"/>
    </i>
    <i t="blank">
      <x v="2"/>
    </i>
    <i>
      <x v="3"/>
    </i>
    <i r="1">
      <x/>
    </i>
    <i r="1">
      <x v="1"/>
    </i>
    <i t="default">
      <x v="3"/>
    </i>
    <i t="blank">
      <x v="3"/>
    </i>
    <i>
      <x v="4"/>
    </i>
    <i r="1">
      <x/>
    </i>
    <i r="1">
      <x v="2"/>
    </i>
    <i t="default">
      <x v="4"/>
    </i>
    <i t="blank">
      <x v="4"/>
    </i>
    <i>
      <x v="5"/>
    </i>
    <i r="1">
      <x v="5"/>
    </i>
    <i t="default">
      <x v="5"/>
    </i>
    <i t="blank">
      <x v="5"/>
    </i>
    <i>
      <x v="6"/>
    </i>
    <i r="1">
      <x v="4"/>
    </i>
    <i t="default">
      <x v="6"/>
    </i>
    <i t="blank">
      <x v="6"/>
    </i>
    <i>
      <x v="7"/>
    </i>
    <i r="1">
      <x v="4"/>
    </i>
    <i r="1">
      <x v="5"/>
    </i>
    <i t="default">
      <x v="7"/>
    </i>
    <i t="blank">
      <x v="7"/>
    </i>
    <i>
      <x v="8"/>
    </i>
    <i r="1">
      <x/>
    </i>
    <i t="default">
      <x v="8"/>
    </i>
    <i t="blank">
      <x v="8"/>
    </i>
    <i t="grand">
      <x/>
    </i>
  </rowItems>
  <colItems count="1">
    <i/>
  </colItems>
  <dataFields count="1">
    <dataField name="Sum of Total Price" fld="3" baseField="0" baseItem="0" numFmtId="8"/>
  </dataFields>
  <formats count="31">
    <format dxfId="55">
      <pivotArea outline="0" collapsedLevelsAreSubtotals="1" fieldPosition="0"/>
    </format>
    <format dxfId="54">
      <pivotArea dataOnly="0" labelOnly="1" outline="0" axis="axisValues" fieldPosition="0"/>
    </format>
    <format dxfId="53">
      <pivotArea dataOnly="0" labelOnly="1" outline="0" axis="axisValues" fieldPosition="0"/>
    </format>
    <format dxfId="52">
      <pivotArea field="0" type="button" dataOnly="0" labelOnly="1" outline="0" axis="axisRow" fieldPosition="0"/>
    </format>
    <format dxfId="51">
      <pivotArea field="2" type="button" dataOnly="0" labelOnly="1" outline="0" axis="axisRow" fieldPosition="1"/>
    </format>
    <format dxfId="50">
      <pivotArea dataOnly="0" labelOnly="1" outline="0" axis="axisValues" fieldPosition="0"/>
    </format>
    <format dxfId="49">
      <pivotArea dataOnly="0" labelOnly="1" outline="0" axis="axisValues" fieldPosition="0"/>
    </format>
    <format dxfId="48">
      <pivotArea field="0" type="button" dataOnly="0" labelOnly="1" outline="0" axis="axisRow" fieldPosition="0"/>
    </format>
    <format dxfId="47">
      <pivotArea field="2" type="button" dataOnly="0" labelOnly="1" outline="0" axis="axisRow" fieldPosition="1"/>
    </format>
    <format dxfId="46">
      <pivotArea dataOnly="0" labelOnly="1" outline="0" axis="axisValues" fieldPosition="0"/>
    </format>
    <format dxfId="45">
      <pivotArea dataOnly="0" labelOnly="1" outline="0" axis="axisValues" fieldPosition="0"/>
    </format>
    <format dxfId="44">
      <pivotArea dataOnly="0" labelOnly="1" outline="0" axis="axisValues" fieldPosition="0"/>
    </format>
    <format dxfId="43">
      <pivotArea dataOnly="0" labelOnly="1" outline="0" axis="axisValues" fieldPosition="0"/>
    </format>
    <format dxfId="42">
      <pivotArea grandRow="1" outline="0" collapsedLevelsAreSubtotals="1" fieldPosition="0"/>
    </format>
    <format dxfId="41">
      <pivotArea field="0" type="button" dataOnly="0" labelOnly="1" outline="0" axis="axisRow" fieldPosition="0"/>
    </format>
    <format dxfId="40">
      <pivotArea field="2" type="button" dataOnly="0" labelOnly="1" outline="0" axis="axisRow" fieldPosition="1"/>
    </format>
    <format dxfId="39">
      <pivotArea dataOnly="0" labelOnly="1" outline="0" axis="axisValues" fieldPosition="0"/>
    </format>
    <format dxfId="38">
      <pivotArea dataOnly="0" labelOnly="1" outline="0" axis="axisValues" fieldPosition="0"/>
    </format>
    <format dxfId="37">
      <pivotArea dataOnly="0" labelOnly="1" outline="0" fieldPosition="0">
        <references count="1">
          <reference field="0" count="0"/>
        </references>
      </pivotArea>
    </format>
    <format dxfId="36">
      <pivotArea dataOnly="0" labelOnly="1" outline="0" fieldPosition="0">
        <references count="2">
          <reference field="0" count="1" selected="0">
            <x v="0"/>
          </reference>
          <reference field="2" count="1">
            <x v="3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1"/>
          </reference>
          <reference field="2" count="2">
            <x v="0"/>
            <x v="4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2"/>
          </reference>
          <reference field="2" count="1">
            <x v="0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3"/>
          </reference>
          <reference field="2" count="2">
            <x v="0"/>
            <x v="1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4"/>
          </reference>
          <reference field="2" count="2">
            <x v="0"/>
            <x v="2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5"/>
          </reference>
          <reference field="2" count="1">
            <x v="5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6"/>
          </reference>
          <reference field="2" count="1">
            <x v="4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7"/>
          </reference>
          <reference field="2" count="2">
            <x v="4"/>
            <x v="5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8"/>
          </reference>
          <reference field="2" count="1">
            <x v="0"/>
          </reference>
        </references>
      </pivotArea>
    </format>
    <format dxfId="27">
      <pivotArea grandRow="1" outline="0" collapsedLevelsAreSubtotals="1" fieldPosition="0"/>
    </format>
    <format dxfId="26">
      <pivotArea dataOnly="0" labelOnly="1" grandRow="1" outline="0" fieldPosition="0"/>
    </format>
    <format dxfId="25">
      <pivotArea dataOnly="0" labelOnly="1" grandRow="1" outline="0" fieldPosition="0"/>
    </format>
  </formats>
  <pivotTableStyleInfo name="PivotStyleMedium9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B14" firstHeaderRow="1" firstDataRow="1" firstDataCol="1"/>
  <pivotFields count="6">
    <pivotField axis="axisRow" subtotalTop="0" showAll="0" insertBlankRow="1">
      <items count="4">
        <item x="1"/>
        <item x="0"/>
        <item x="2"/>
        <item t="default"/>
      </items>
    </pivotField>
    <pivotField numFmtId="8" subtotalTop="0" showAll="0" insertBlankRow="1"/>
    <pivotField axis="axisRow" subtotalTop="0" showAll="0" insertBlankRow="1">
      <items count="3">
        <item x="0"/>
        <item x="1"/>
        <item t="default"/>
      </items>
    </pivotField>
    <pivotField dataField="1" numFmtId="8" subtotalTop="0" showAll="0" insertBlankRow="1"/>
    <pivotField numFmtId="14" subtotalTop="0" showAll="0" insertBlankRow="1"/>
    <pivotField numFmtId="164" subtotalTop="0" showAll="0" insertBlankRow="1"/>
  </pivotFields>
  <rowFields count="2">
    <field x="0"/>
    <field x="2"/>
  </rowFields>
  <rowItems count="13">
    <i>
      <x/>
    </i>
    <i r="1">
      <x v="1"/>
    </i>
    <i t="default">
      <x/>
    </i>
    <i t="blank">
      <x/>
    </i>
    <i>
      <x v="1"/>
    </i>
    <i r="1">
      <x/>
    </i>
    <i t="default">
      <x v="1"/>
    </i>
    <i t="blank">
      <x v="1"/>
    </i>
    <i>
      <x v="2"/>
    </i>
    <i r="1">
      <x/>
    </i>
    <i t="default">
      <x v="2"/>
    </i>
    <i t="blank">
      <x v="2"/>
    </i>
    <i t="grand">
      <x/>
    </i>
  </rowItems>
  <colItems count="1">
    <i/>
  </colItems>
  <dataFields count="1">
    <dataField name="Sum of Total Price" fld="3" baseField="0" baseItem="0" numFmtId="8"/>
  </dataFields>
  <formats count="25">
    <format dxfId="24">
      <pivotArea outline="0" collapsedLevelsAreSubtotals="1" fieldPosition="0"/>
    </format>
    <format dxfId="23">
      <pivotArea dataOnly="0" labelOnly="1" outline="0" axis="axisValues" fieldPosition="0"/>
    </format>
    <format dxfId="22">
      <pivotArea dataOnly="0" labelOnly="1" outline="0" axis="axisValues" fieldPosition="0"/>
    </format>
    <format dxfId="21">
      <pivotArea field="0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dataOnly="0" labelOnly="1" outline="0" axis="axisValues" fieldPosition="0"/>
    </format>
    <format dxfId="18">
      <pivotArea dataOnly="0" labelOnly="1" outline="0" axis="axisValues" fieldPosition="0"/>
    </format>
    <format dxfId="17">
      <pivotArea field="0" type="button" dataOnly="0" labelOnly="1" outline="0" axis="axisRow" fieldPosition="0"/>
    </format>
    <format dxfId="16">
      <pivotArea field="2" type="button" dataOnly="0" labelOnly="1" outline="0" axis="axisRow" fieldPosition="1"/>
    </format>
    <format dxfId="15">
      <pivotArea dataOnly="0" labelOnly="1" outline="0" axis="axisValues" fieldPosition="0"/>
    </format>
    <format dxfId="14">
      <pivotArea dataOnly="0" labelOnly="1" outline="0" axis="axisValues" fieldPosition="0"/>
    </format>
    <format dxfId="13">
      <pivotArea dataOnly="0" labelOnly="1" outline="0" fieldPosition="0">
        <references count="1">
          <reference field="0" count="0"/>
        </references>
      </pivotArea>
    </format>
    <format dxfId="12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11">
      <pivotArea dataOnly="0" grandRow="1" fieldPosition="0"/>
    </format>
    <format dxfId="10">
      <pivotArea dataOnly="0" grandRow="1" fieldPosition="0"/>
    </format>
    <format dxfId="9">
      <pivotArea field="2" type="button" dataOnly="0" labelOnly="1" outline="0" axis="axisRow" fieldPosition="1"/>
    </format>
    <format dxfId="8">
      <pivotArea dataOnly="0" labelOnly="1" outline="0" fieldPosition="0">
        <references count="1">
          <reference field="0" count="1">
            <x v="0"/>
          </reference>
        </references>
      </pivotArea>
    </format>
    <format dxfId="7">
      <pivotArea dataOnly="0" labelOnly="1" outline="0" fieldPosition="0">
        <references count="1">
          <reference field="0" count="1">
            <x v="1"/>
          </reference>
        </references>
      </pivotArea>
    </format>
    <format dxfId="6">
      <pivotArea dataOnly="0" labelOnly="1" grandRow="1" outline="0" fieldPosition="0"/>
    </format>
    <format dxfId="5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4">
      <pivotArea field="0" type="button" dataOnly="0" labelOnly="1" outline="0" axis="axisRow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fieldPosition="0">
        <references count="1">
          <reference field="0" count="0" defaultSubtotal="1"/>
        </references>
      </pivotArea>
    </format>
    <format dxfId="1">
      <pivotArea dataOnly="0" labelOnly="1" grandRow="1" outline="0" fieldPosition="0"/>
    </format>
    <format dxfId="0">
      <pivotArea dataOnly="0" labelOnly="1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</formats>
  <pivotTableStyleInfo name="PivotStyleMedium10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1:F14" totalsRowShown="0">
  <autoFilter ref="A1:F1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Name"/>
    <tableColumn id="2" name="Unit Price" dataDxfId="69"/>
    <tableColumn id="3" name="Quantity" dataDxfId="68"/>
    <tableColumn id="4" name="Total Price" dataDxfId="67"/>
    <tableColumn id="5" name="Date" dataDxfId="66"/>
    <tableColumn id="6" name="Time" dataDxfId="65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3" name="Table3" displayName="Table3" ref="A1:F4" totalsRowShown="0" tableBorderDxfId="64">
  <autoFilter ref="A1:F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Name"/>
    <tableColumn id="2" name="Unit Price" dataDxfId="63"/>
    <tableColumn id="3" name="Quantity"/>
    <tableColumn id="4" name="Total Price" dataDxfId="62"/>
    <tableColumn id="5" name="Date" dataDxfId="61"/>
    <tableColumn id="6" name="Time" dataDxfId="6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1" name="Stock" displayName="Stock" ref="A1:C10">
  <autoFilter ref="A1:C10">
    <filterColumn colId="0" hiddenButton="1"/>
    <filterColumn colId="1" hiddenButton="1"/>
    <filterColumn colId="2" hiddenButton="1"/>
  </autoFilter>
  <tableColumns count="3">
    <tableColumn id="1" name="Name" totalsRowLabel="Total"/>
    <tableColumn id="2" name="Unit Price" dataDxfId="57">
      <calculatedColumnFormula>VLOOKUP(A2, Purchase!$A$1:$F$1017, 2,0)</calculatedColumnFormula>
    </tableColumn>
    <tableColumn id="3" name="Stock" totalsRowFunction="sum" dataDxfId="56">
      <calculatedColumnFormula>SUMIFS(Purchase!C:C,Purchase!A:A,Stock!A2) - SUMIFS(Sales!C:C, Sales!A:A, Stock!A2)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70C0"/>
  </sheetPr>
  <dimension ref="G1:P17"/>
  <sheetViews>
    <sheetView tabSelected="1" workbookViewId="0">
      <selection activeCell="I6" sqref="I6:J6"/>
    </sheetView>
  </sheetViews>
  <sheetFormatPr defaultRowHeight="14.25" x14ac:dyDescent="0.2"/>
  <cols>
    <col min="1" max="8" width="9" style="1"/>
    <col min="9" max="9" width="13.5" style="1" customWidth="1"/>
    <col min="10" max="16384" width="9" style="1"/>
  </cols>
  <sheetData>
    <row r="1" spans="7:16" ht="15" thickBot="1" x14ac:dyDescent="0.25"/>
    <row r="2" spans="7:16" x14ac:dyDescent="0.2">
      <c r="G2" s="48" t="s">
        <v>3</v>
      </c>
      <c r="H2" s="48"/>
      <c r="I2" s="48"/>
      <c r="J2" s="48"/>
    </row>
    <row r="3" spans="7:16" ht="15" thickBot="1" x14ac:dyDescent="0.25">
      <c r="G3" s="49"/>
      <c r="H3" s="49"/>
      <c r="I3" s="49"/>
      <c r="J3" s="49"/>
      <c r="L3" s="47"/>
      <c r="M3" s="47"/>
      <c r="N3" s="47"/>
      <c r="O3" s="47"/>
      <c r="P3" s="47"/>
    </row>
    <row r="4" spans="7:16" x14ac:dyDescent="0.2">
      <c r="L4" s="47"/>
      <c r="M4" s="47"/>
      <c r="N4" s="47"/>
      <c r="O4" s="47"/>
      <c r="P4" s="47"/>
    </row>
    <row r="5" spans="7:16" x14ac:dyDescent="0.2">
      <c r="L5" s="47"/>
      <c r="M5" s="47"/>
      <c r="N5" s="47"/>
      <c r="O5" s="47"/>
      <c r="P5" s="47"/>
    </row>
    <row r="6" spans="7:16" ht="16.5" x14ac:dyDescent="0.3">
      <c r="G6" s="14" t="s">
        <v>0</v>
      </c>
      <c r="I6" s="53"/>
      <c r="J6" s="53"/>
      <c r="L6" s="47"/>
      <c r="M6" s="47"/>
      <c r="N6" s="47"/>
      <c r="O6" s="47"/>
      <c r="P6" s="47"/>
    </row>
    <row r="7" spans="7:16" ht="16.5" x14ac:dyDescent="0.3">
      <c r="I7" s="5"/>
      <c r="J7" s="6"/>
      <c r="L7" s="47"/>
      <c r="M7" s="47"/>
      <c r="N7" s="47"/>
      <c r="O7" s="47"/>
      <c r="P7" s="47"/>
    </row>
    <row r="8" spans="7:16" ht="16.5" x14ac:dyDescent="0.3">
      <c r="G8" s="14" t="s">
        <v>1</v>
      </c>
      <c r="I8" s="52"/>
      <c r="J8" s="52"/>
      <c r="L8" s="47"/>
      <c r="M8" s="47"/>
      <c r="N8" s="47"/>
      <c r="O8" s="47"/>
      <c r="P8" s="47"/>
    </row>
    <row r="9" spans="7:16" x14ac:dyDescent="0.2">
      <c r="I9" s="5"/>
      <c r="J9" s="5"/>
      <c r="L9" s="47"/>
      <c r="M9" s="47"/>
      <c r="N9" s="47"/>
      <c r="O9" s="47"/>
      <c r="P9" s="47"/>
    </row>
    <row r="10" spans="7:16" ht="16.5" x14ac:dyDescent="0.3">
      <c r="G10" s="14" t="s">
        <v>2</v>
      </c>
      <c r="I10" s="53"/>
      <c r="J10" s="53"/>
      <c r="L10" s="47"/>
      <c r="M10" s="47"/>
      <c r="N10" s="47"/>
      <c r="O10" s="47"/>
      <c r="P10" s="47"/>
    </row>
    <row r="11" spans="7:16" x14ac:dyDescent="0.2">
      <c r="G11" s="3"/>
      <c r="I11" s="5"/>
      <c r="J11" s="5"/>
      <c r="L11" s="47"/>
      <c r="M11" s="47"/>
      <c r="N11" s="47"/>
      <c r="O11" s="47"/>
      <c r="P11" s="47"/>
    </row>
    <row r="12" spans="7:16" ht="16.5" x14ac:dyDescent="0.3">
      <c r="G12" s="14" t="s">
        <v>4</v>
      </c>
      <c r="I12" s="52">
        <f>IFERROR(I8*I10, "")</f>
        <v>0</v>
      </c>
      <c r="J12" s="52"/>
      <c r="L12" s="47"/>
      <c r="M12" s="47"/>
      <c r="N12" s="47"/>
      <c r="O12" s="47"/>
      <c r="P12" s="47"/>
    </row>
    <row r="13" spans="7:16" x14ac:dyDescent="0.2">
      <c r="I13" s="25"/>
      <c r="L13" s="47"/>
      <c r="M13" s="47"/>
      <c r="N13" s="47"/>
      <c r="O13" s="47"/>
      <c r="P13" s="47"/>
    </row>
    <row r="14" spans="7:16" ht="16.5" x14ac:dyDescent="0.3">
      <c r="G14" s="14" t="s">
        <v>5</v>
      </c>
      <c r="I14" s="50"/>
      <c r="J14" s="50"/>
      <c r="L14" s="47"/>
      <c r="M14" s="47"/>
      <c r="N14" s="47"/>
      <c r="O14" s="47"/>
      <c r="P14" s="47"/>
    </row>
    <row r="15" spans="7:16" x14ac:dyDescent="0.2">
      <c r="L15" s="47"/>
      <c r="M15" s="47"/>
      <c r="N15" s="47"/>
      <c r="O15" s="47"/>
      <c r="P15" s="47"/>
    </row>
    <row r="16" spans="7:16" ht="16.5" x14ac:dyDescent="0.3">
      <c r="G16" s="14" t="s">
        <v>6</v>
      </c>
      <c r="I16" s="51"/>
      <c r="J16" s="52"/>
      <c r="L16" s="47"/>
      <c r="M16" s="47"/>
      <c r="N16" s="47"/>
      <c r="O16" s="47"/>
      <c r="P16" s="47"/>
    </row>
    <row r="17" spans="12:16" x14ac:dyDescent="0.2">
      <c r="L17" s="47"/>
      <c r="M17" s="47"/>
      <c r="N17" s="47"/>
      <c r="O17" s="47"/>
      <c r="P17" s="47"/>
    </row>
  </sheetData>
  <mergeCells count="7">
    <mergeCell ref="G2:J3"/>
    <mergeCell ref="I14:J14"/>
    <mergeCell ref="I16:J16"/>
    <mergeCell ref="I6:J6"/>
    <mergeCell ref="I8:J8"/>
    <mergeCell ref="I10:J10"/>
    <mergeCell ref="I12:J12"/>
  </mergeCells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C00000"/>
  </sheetPr>
  <dimension ref="G1:N16"/>
  <sheetViews>
    <sheetView workbookViewId="0">
      <selection activeCell="I6" sqref="I6:J6"/>
    </sheetView>
  </sheetViews>
  <sheetFormatPr defaultRowHeight="14.25" x14ac:dyDescent="0.2"/>
  <cols>
    <col min="1" max="8" width="9" style="2"/>
    <col min="9" max="9" width="13.5" style="2" bestFit="1" customWidth="1"/>
    <col min="10" max="16384" width="9" style="2"/>
  </cols>
  <sheetData>
    <row r="1" spans="7:14" ht="15" thickBot="1" x14ac:dyDescent="0.25"/>
    <row r="2" spans="7:14" x14ac:dyDescent="0.2">
      <c r="G2" s="54" t="s">
        <v>10</v>
      </c>
      <c r="H2" s="54"/>
      <c r="I2" s="54"/>
      <c r="J2" s="54"/>
    </row>
    <row r="3" spans="7:14" ht="15" thickBot="1" x14ac:dyDescent="0.25">
      <c r="G3" s="55"/>
      <c r="H3" s="55"/>
      <c r="I3" s="55"/>
      <c r="J3" s="55"/>
    </row>
    <row r="5" spans="7:14" x14ac:dyDescent="0.2">
      <c r="G5" s="15"/>
    </row>
    <row r="6" spans="7:14" ht="17.25" thickBot="1" x14ac:dyDescent="0.35">
      <c r="G6" s="4" t="s">
        <v>0</v>
      </c>
      <c r="I6" s="53" t="s">
        <v>17</v>
      </c>
      <c r="J6" s="53"/>
      <c r="M6" s="22" t="s">
        <v>11</v>
      </c>
      <c r="N6" s="24">
        <f>IFERROR(VLOOKUP(I6, Stock!A1:C20, 3, 0), "")</f>
        <v>5</v>
      </c>
    </row>
    <row r="7" spans="7:14" x14ac:dyDescent="0.2">
      <c r="G7" s="15"/>
    </row>
    <row r="8" spans="7:14" ht="17.25" x14ac:dyDescent="0.3">
      <c r="G8" s="4" t="s">
        <v>1</v>
      </c>
      <c r="I8" s="52">
        <f>IFERROR(VLOOKUP(I6, Purchase!A1:F20, 2,0)* 5% + VLOOKUP(I6, Purchase!A1:F20, 2,0), "")</f>
        <v>72450</v>
      </c>
      <c r="J8" s="52"/>
      <c r="M8" s="23"/>
    </row>
    <row r="9" spans="7:14" x14ac:dyDescent="0.2">
      <c r="G9" s="15"/>
    </row>
    <row r="10" spans="7:14" ht="16.5" x14ac:dyDescent="0.3">
      <c r="G10" s="4" t="s">
        <v>2</v>
      </c>
      <c r="I10" s="53"/>
      <c r="J10" s="53"/>
    </row>
    <row r="11" spans="7:14" x14ac:dyDescent="0.2">
      <c r="G11" s="15"/>
    </row>
    <row r="12" spans="7:14" ht="16.5" x14ac:dyDescent="0.3">
      <c r="G12" s="4" t="s">
        <v>4</v>
      </c>
      <c r="I12" s="52">
        <f>IFERROR(I8*I10, "")</f>
        <v>0</v>
      </c>
      <c r="J12" s="52"/>
    </row>
    <row r="13" spans="7:14" x14ac:dyDescent="0.2">
      <c r="G13" s="15"/>
    </row>
    <row r="14" spans="7:14" ht="16.5" x14ac:dyDescent="0.3">
      <c r="G14" s="4" t="s">
        <v>5</v>
      </c>
      <c r="I14" s="50"/>
      <c r="J14" s="50"/>
    </row>
    <row r="15" spans="7:14" x14ac:dyDescent="0.2">
      <c r="G15" s="15"/>
    </row>
    <row r="16" spans="7:14" ht="16.5" x14ac:dyDescent="0.3">
      <c r="G16" s="4" t="s">
        <v>6</v>
      </c>
      <c r="I16" s="51"/>
      <c r="J16" s="53"/>
    </row>
  </sheetData>
  <mergeCells count="7">
    <mergeCell ref="G2:J3"/>
    <mergeCell ref="I16:J16"/>
    <mergeCell ref="I6:J6"/>
    <mergeCell ref="I8:J8"/>
    <mergeCell ref="I10:J10"/>
    <mergeCell ref="I12:J12"/>
    <mergeCell ref="I14:J14"/>
  </mergeCells>
  <dataValidations count="2">
    <dataValidation type="list" allowBlank="1" showInputMessage="1" showErrorMessage="1" sqref="I6:J6">
      <formula1>INDIRECT("Stock[Name]")</formula1>
    </dataValidation>
    <dataValidation type="custom" errorStyle="information" allowBlank="1" showInputMessage="1" showErrorMessage="1" errorTitle="Out of Stock!" error="Demanded quantity is not available." sqref="I10:J10">
      <formula1>I10&lt;=N6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G14"/>
  <sheetViews>
    <sheetView workbookViewId="0"/>
  </sheetViews>
  <sheetFormatPr defaultRowHeight="14.25" x14ac:dyDescent="0.2"/>
  <cols>
    <col min="1" max="1" width="19.5" bestFit="1" customWidth="1"/>
    <col min="2" max="2" width="12.75" style="9" bestFit="1" customWidth="1"/>
    <col min="3" max="3" width="11.25" style="21" bestFit="1" customWidth="1"/>
    <col min="4" max="4" width="13.875" style="9" bestFit="1" customWidth="1"/>
    <col min="5" max="5" width="12.25" style="11" bestFit="1" customWidth="1"/>
    <col min="6" max="6" width="11" style="13" bestFit="1" customWidth="1"/>
    <col min="7" max="7" width="10" style="13" bestFit="1" customWidth="1"/>
  </cols>
  <sheetData>
    <row r="1" spans="1:6" ht="15.75" x14ac:dyDescent="0.3">
      <c r="A1" s="7" t="s">
        <v>0</v>
      </c>
      <c r="B1" s="8" t="s">
        <v>1</v>
      </c>
      <c r="C1" s="20" t="s">
        <v>2</v>
      </c>
      <c r="D1" s="8" t="s">
        <v>4</v>
      </c>
      <c r="E1" s="10" t="s">
        <v>5</v>
      </c>
      <c r="F1" s="12" t="s">
        <v>6</v>
      </c>
    </row>
    <row r="2" spans="1:6" x14ac:dyDescent="0.2">
      <c r="A2" t="s">
        <v>9</v>
      </c>
      <c r="B2" s="9">
        <v>75500</v>
      </c>
      <c r="C2" s="21">
        <v>5</v>
      </c>
      <c r="D2" s="9">
        <v>377500</v>
      </c>
      <c r="E2" s="11">
        <v>46041</v>
      </c>
      <c r="F2" s="13">
        <v>0.92499999999999993</v>
      </c>
    </row>
    <row r="3" spans="1:6" x14ac:dyDescent="0.2">
      <c r="A3" t="s">
        <v>7</v>
      </c>
      <c r="B3" s="9">
        <v>85000</v>
      </c>
      <c r="C3" s="21">
        <v>12</v>
      </c>
      <c r="D3" s="9">
        <v>1020000</v>
      </c>
      <c r="E3" s="11">
        <v>46041</v>
      </c>
      <c r="F3" s="13">
        <v>0.92569444444444438</v>
      </c>
    </row>
    <row r="4" spans="1:6" x14ac:dyDescent="0.2">
      <c r="A4" t="s">
        <v>12</v>
      </c>
      <c r="B4" s="9">
        <v>36000</v>
      </c>
      <c r="C4" s="21">
        <v>15</v>
      </c>
      <c r="D4" s="9">
        <v>540000</v>
      </c>
      <c r="E4" s="11">
        <v>46041</v>
      </c>
      <c r="F4" s="13">
        <v>0.94166666666666676</v>
      </c>
    </row>
    <row r="5" spans="1:6" x14ac:dyDescent="0.2">
      <c r="A5" t="s">
        <v>13</v>
      </c>
      <c r="B5" s="9">
        <v>1000</v>
      </c>
      <c r="C5" s="21">
        <v>15</v>
      </c>
      <c r="D5" s="9">
        <v>15000</v>
      </c>
      <c r="E5" s="11">
        <v>46041</v>
      </c>
      <c r="F5" s="13">
        <v>0.94305555555555554</v>
      </c>
    </row>
    <row r="6" spans="1:6" x14ac:dyDescent="0.2">
      <c r="A6" t="s">
        <v>14</v>
      </c>
      <c r="B6" s="9">
        <v>30000</v>
      </c>
      <c r="C6" s="21">
        <v>10</v>
      </c>
      <c r="D6" s="9">
        <v>300000</v>
      </c>
      <c r="E6" s="11">
        <v>46041</v>
      </c>
      <c r="F6" s="13">
        <v>0.94305555555555554</v>
      </c>
    </row>
    <row r="7" spans="1:6" x14ac:dyDescent="0.2">
      <c r="A7" t="s">
        <v>15</v>
      </c>
      <c r="B7" s="9">
        <v>45000</v>
      </c>
      <c r="C7" s="21">
        <v>5</v>
      </c>
      <c r="D7" s="9">
        <v>225000</v>
      </c>
      <c r="E7" s="11">
        <v>46041</v>
      </c>
      <c r="F7" s="13">
        <v>0.95138888888888884</v>
      </c>
    </row>
    <row r="8" spans="1:6" x14ac:dyDescent="0.2">
      <c r="A8" t="s">
        <v>8</v>
      </c>
      <c r="B8" s="9">
        <v>65000</v>
      </c>
      <c r="C8" s="21">
        <v>7</v>
      </c>
      <c r="D8" s="9">
        <v>455000</v>
      </c>
      <c r="E8" s="11">
        <v>46041</v>
      </c>
      <c r="F8" s="13">
        <v>0.95347222222222217</v>
      </c>
    </row>
    <row r="9" spans="1:6" x14ac:dyDescent="0.2">
      <c r="A9" t="s">
        <v>16</v>
      </c>
      <c r="B9" s="9">
        <v>35000</v>
      </c>
      <c r="C9" s="21">
        <v>12</v>
      </c>
      <c r="D9" s="9">
        <v>420000</v>
      </c>
      <c r="E9" s="11">
        <v>46041</v>
      </c>
      <c r="F9" s="13">
        <v>0.97777777777777775</v>
      </c>
    </row>
    <row r="10" spans="1:6" x14ac:dyDescent="0.2">
      <c r="A10" t="s">
        <v>9</v>
      </c>
      <c r="B10" s="9">
        <v>75500</v>
      </c>
      <c r="C10" s="21">
        <v>8</v>
      </c>
      <c r="D10" s="9">
        <v>604000</v>
      </c>
      <c r="E10" s="11">
        <v>46042</v>
      </c>
      <c r="F10" s="13">
        <v>0.44930555555555557</v>
      </c>
    </row>
    <row r="11" spans="1:6" x14ac:dyDescent="0.2">
      <c r="A11" t="s">
        <v>7</v>
      </c>
      <c r="B11" s="9">
        <v>85500</v>
      </c>
      <c r="C11" s="21">
        <v>5</v>
      </c>
      <c r="D11" s="9">
        <v>427500</v>
      </c>
      <c r="E11" s="11">
        <v>46042</v>
      </c>
      <c r="F11" s="13">
        <v>0.45763888888888887</v>
      </c>
    </row>
    <row r="12" spans="1:6" x14ac:dyDescent="0.2">
      <c r="A12" t="s">
        <v>17</v>
      </c>
      <c r="B12" s="9">
        <v>69000</v>
      </c>
      <c r="C12" s="21">
        <v>5</v>
      </c>
      <c r="D12" s="9">
        <v>345000</v>
      </c>
      <c r="E12" s="11">
        <v>46042</v>
      </c>
      <c r="F12" s="13">
        <v>0.46319444444444446</v>
      </c>
    </row>
    <row r="13" spans="1:6" x14ac:dyDescent="0.2">
      <c r="A13" t="s">
        <v>13</v>
      </c>
      <c r="B13" s="9">
        <v>1000</v>
      </c>
      <c r="C13" s="21">
        <v>12</v>
      </c>
      <c r="D13" s="9">
        <v>12000</v>
      </c>
      <c r="E13" s="11">
        <v>46042</v>
      </c>
      <c r="F13" s="13">
        <v>0.46875</v>
      </c>
    </row>
    <row r="14" spans="1:6" x14ac:dyDescent="0.2">
      <c r="A14" t="s">
        <v>8</v>
      </c>
      <c r="B14" s="9">
        <v>65000</v>
      </c>
      <c r="C14" s="21">
        <v>5</v>
      </c>
      <c r="D14" s="9">
        <v>325000</v>
      </c>
      <c r="E14" s="11">
        <v>46042</v>
      </c>
      <c r="F14" s="13">
        <v>0.47361111111111115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</sheetPr>
  <dimension ref="A1:G4"/>
  <sheetViews>
    <sheetView workbookViewId="0"/>
  </sheetViews>
  <sheetFormatPr defaultRowHeight="14.25" x14ac:dyDescent="0.2"/>
  <cols>
    <col min="1" max="1" width="16.125" bestFit="1" customWidth="1"/>
    <col min="2" max="2" width="12.75" style="9" bestFit="1" customWidth="1"/>
    <col min="3" max="3" width="11.25" style="21" bestFit="1" customWidth="1"/>
    <col min="4" max="4" width="12.25" style="9" bestFit="1" customWidth="1"/>
    <col min="5" max="5" width="12.25" style="11" bestFit="1" customWidth="1"/>
    <col min="6" max="6" width="11.25" style="41" bestFit="1" customWidth="1"/>
    <col min="7" max="7" width="9" style="17"/>
  </cols>
  <sheetData>
    <row r="1" spans="1:6" ht="15.75" x14ac:dyDescent="0.3">
      <c r="A1" s="43" t="s">
        <v>0</v>
      </c>
      <c r="B1" s="44" t="s">
        <v>1</v>
      </c>
      <c r="C1" s="45" t="s">
        <v>2</v>
      </c>
      <c r="D1" s="44" t="s">
        <v>4</v>
      </c>
      <c r="E1" s="18" t="s">
        <v>5</v>
      </c>
      <c r="F1" s="46" t="s">
        <v>6</v>
      </c>
    </row>
    <row r="2" spans="1:6" x14ac:dyDescent="0.2">
      <c r="A2" t="s">
        <v>15</v>
      </c>
      <c r="B2" s="9">
        <v>47250</v>
      </c>
      <c r="C2">
        <v>3</v>
      </c>
      <c r="D2" s="9">
        <v>141750</v>
      </c>
      <c r="E2" s="11">
        <v>46042</v>
      </c>
      <c r="F2" s="40">
        <v>0.52430555555555558</v>
      </c>
    </row>
    <row r="3" spans="1:6" x14ac:dyDescent="0.2">
      <c r="A3" t="s">
        <v>14</v>
      </c>
      <c r="B3" s="9">
        <v>31500</v>
      </c>
      <c r="C3">
        <v>5</v>
      </c>
      <c r="D3" s="9">
        <v>157500</v>
      </c>
      <c r="E3" s="11">
        <v>46042</v>
      </c>
      <c r="F3" s="40">
        <v>0.52500000000000002</v>
      </c>
    </row>
    <row r="4" spans="1:6" x14ac:dyDescent="0.2">
      <c r="A4" t="s">
        <v>8</v>
      </c>
      <c r="B4" s="9">
        <v>68250</v>
      </c>
      <c r="C4" s="21">
        <v>3</v>
      </c>
      <c r="D4" s="9">
        <v>204750</v>
      </c>
      <c r="E4" s="11">
        <v>46042</v>
      </c>
      <c r="F4" s="41">
        <v>0.52569444444444446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C10"/>
  <sheetViews>
    <sheetView workbookViewId="0"/>
  </sheetViews>
  <sheetFormatPr defaultRowHeight="14.25" x14ac:dyDescent="0.2"/>
  <cols>
    <col min="1" max="1" width="19.5" bestFit="1" customWidth="1"/>
    <col min="2" max="2" width="11.25" style="9" bestFit="1" customWidth="1"/>
    <col min="3" max="3" width="7.75" customWidth="1"/>
    <col min="4" max="4" width="6.125" bestFit="1" customWidth="1"/>
  </cols>
  <sheetData>
    <row r="1" spans="1:3" ht="15.75" x14ac:dyDescent="0.3">
      <c r="A1" s="16" t="s">
        <v>0</v>
      </c>
      <c r="B1" s="19" t="s">
        <v>1</v>
      </c>
      <c r="C1" s="16" t="s">
        <v>11</v>
      </c>
    </row>
    <row r="2" spans="1:3" x14ac:dyDescent="0.2">
      <c r="A2" t="s">
        <v>9</v>
      </c>
      <c r="B2" s="9">
        <f>VLOOKUP(A2, Purchase!$A$1:$F$1017, 2,0)</f>
        <v>75500</v>
      </c>
      <c r="C2">
        <f>SUMIFS(Purchase!C:C,Purchase!A:A,Stock!A2) - SUMIFS(Sales!C:C, Sales!A:A, Stock!A2)</f>
        <v>13</v>
      </c>
    </row>
    <row r="3" spans="1:3" x14ac:dyDescent="0.2">
      <c r="A3" t="s">
        <v>7</v>
      </c>
      <c r="B3" s="9">
        <f>VLOOKUP(A3, Purchase!$A$1:$F$1017, 2,0)</f>
        <v>85000</v>
      </c>
      <c r="C3">
        <f>SUMIFS(Purchase!C:C,Purchase!A:A,Stock!A3) - SUMIFS(Sales!C:C, Sales!A:A, Stock!A3)</f>
        <v>17</v>
      </c>
    </row>
    <row r="4" spans="1:3" x14ac:dyDescent="0.2">
      <c r="A4" t="s">
        <v>12</v>
      </c>
      <c r="B4" s="9">
        <f>VLOOKUP(A4, Purchase!$A$1:$F$1017, 2,0)</f>
        <v>36000</v>
      </c>
      <c r="C4">
        <f>SUMIFS(Purchase!C:C,Purchase!A:A,Stock!A4) - SUMIFS(Sales!C:C, Sales!A:A, Stock!A4)</f>
        <v>15</v>
      </c>
    </row>
    <row r="5" spans="1:3" x14ac:dyDescent="0.2">
      <c r="A5" t="s">
        <v>13</v>
      </c>
      <c r="B5" s="9">
        <f>VLOOKUP(A5, Purchase!$A$1:$F$1017, 2,0)</f>
        <v>1000</v>
      </c>
      <c r="C5">
        <f>SUMIFS(Purchase!C:C,Purchase!A:A,Stock!A5) - SUMIFS(Sales!C:C, Sales!A:A, Stock!A5)</f>
        <v>27</v>
      </c>
    </row>
    <row r="6" spans="1:3" x14ac:dyDescent="0.2">
      <c r="A6" t="s">
        <v>14</v>
      </c>
      <c r="B6" s="9">
        <f>VLOOKUP(A6, Purchase!$A$1:$F$1017, 2,0)</f>
        <v>30000</v>
      </c>
      <c r="C6">
        <f>SUMIFS(Purchase!C:C,Purchase!A:A,Stock!A6) - SUMIFS(Sales!C:C, Sales!A:A, Stock!A6)</f>
        <v>5</v>
      </c>
    </row>
    <row r="7" spans="1:3" x14ac:dyDescent="0.2">
      <c r="A7" t="s">
        <v>15</v>
      </c>
      <c r="B7" s="9">
        <f>VLOOKUP(A7, Purchase!$A$1:$F$1017, 2,0)</f>
        <v>45000</v>
      </c>
      <c r="C7">
        <f>SUMIFS(Purchase!C:C,Purchase!A:A,Stock!A7) - SUMIFS(Sales!C:C, Sales!A:A, Stock!A7)</f>
        <v>2</v>
      </c>
    </row>
    <row r="8" spans="1:3" x14ac:dyDescent="0.2">
      <c r="A8" t="s">
        <v>8</v>
      </c>
      <c r="B8" s="9">
        <f>VLOOKUP(A8, Purchase!$A$1:$F$1017, 2,0)</f>
        <v>65000</v>
      </c>
      <c r="C8">
        <f>SUMIFS(Purchase!C:C,Purchase!A:A,Stock!A8) - SUMIFS(Sales!C:C, Sales!A:A, Stock!A8)</f>
        <v>9</v>
      </c>
    </row>
    <row r="9" spans="1:3" x14ac:dyDescent="0.2">
      <c r="A9" t="s">
        <v>16</v>
      </c>
      <c r="B9" s="9">
        <f>VLOOKUP(A9, Purchase!$A$1:$F$1017, 2,0)</f>
        <v>35000</v>
      </c>
      <c r="C9">
        <f>SUMIFS(Purchase!C:C,Purchase!A:A,Stock!A9) - SUMIFS(Sales!C:C, Sales!A:A, Stock!A9)</f>
        <v>12</v>
      </c>
    </row>
    <row r="10" spans="1:3" x14ac:dyDescent="0.2">
      <c r="A10" t="s">
        <v>17</v>
      </c>
      <c r="B10" s="9">
        <f>VLOOKUP(A10, Purchase!$A$1:$F$1017, 2,0)</f>
        <v>69000</v>
      </c>
      <c r="C10" s="21">
        <f>SUMIFS(Purchase!C:C,Purchase!A:A,Stock!A10) - SUMIFS(Sales!C:C, Sales!A:A, Stock!A10)</f>
        <v>5</v>
      </c>
    </row>
  </sheetData>
  <conditionalFormatting sqref="C1:C1048576">
    <cfRule type="containsBlanks" dxfId="59" priority="3">
      <formula>LEN(TRIM(C1))=0</formula>
    </cfRule>
    <cfRule type="cellIs" dxfId="58" priority="4" operator="lessThan">
      <formula>10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C42"/>
  <sheetViews>
    <sheetView workbookViewId="0"/>
  </sheetViews>
  <sheetFormatPr defaultRowHeight="14.25" x14ac:dyDescent="0.2"/>
  <cols>
    <col min="1" max="1" width="26.125" bestFit="1" customWidth="1"/>
    <col min="2" max="2" width="17.375" customWidth="1"/>
    <col min="3" max="3" width="17.375" style="9" bestFit="1" customWidth="1"/>
    <col min="4" max="12" width="12.25" bestFit="1" customWidth="1"/>
    <col min="13" max="13" width="13.875" bestFit="1" customWidth="1"/>
    <col min="14" max="14" width="11.375" bestFit="1" customWidth="1"/>
  </cols>
  <sheetData>
    <row r="1" spans="1:3" x14ac:dyDescent="0.2">
      <c r="A1" s="28" t="s">
        <v>29</v>
      </c>
      <c r="B1" s="29" t="s">
        <v>19</v>
      </c>
      <c r="C1"/>
    </row>
    <row r="2" spans="1:3" x14ac:dyDescent="0.2">
      <c r="A2" s="33" t="s">
        <v>14</v>
      </c>
      <c r="B2" s="9"/>
      <c r="C2"/>
    </row>
    <row r="3" spans="1:3" x14ac:dyDescent="0.2">
      <c r="A3" s="34">
        <v>10</v>
      </c>
      <c r="B3" s="9">
        <v>300000</v>
      </c>
      <c r="C3"/>
    </row>
    <row r="4" spans="1:3" x14ac:dyDescent="0.2">
      <c r="A4" s="32" t="s">
        <v>20</v>
      </c>
      <c r="B4" s="9">
        <v>300000</v>
      </c>
      <c r="C4"/>
    </row>
    <row r="5" spans="1:3" x14ac:dyDescent="0.2">
      <c r="A5" s="32"/>
      <c r="B5" s="9"/>
      <c r="C5"/>
    </row>
    <row r="6" spans="1:3" x14ac:dyDescent="0.2">
      <c r="A6" s="33" t="s">
        <v>7</v>
      </c>
      <c r="B6" s="9"/>
      <c r="C6"/>
    </row>
    <row r="7" spans="1:3" x14ac:dyDescent="0.2">
      <c r="A7" s="34">
        <v>5</v>
      </c>
      <c r="B7" s="9">
        <v>427500</v>
      </c>
      <c r="C7"/>
    </row>
    <row r="8" spans="1:3" x14ac:dyDescent="0.2">
      <c r="A8" s="34">
        <v>12</v>
      </c>
      <c r="B8" s="9">
        <v>1020000</v>
      </c>
      <c r="C8"/>
    </row>
    <row r="9" spans="1:3" x14ac:dyDescent="0.2">
      <c r="A9" s="32" t="s">
        <v>21</v>
      </c>
      <c r="B9" s="9">
        <v>1447500</v>
      </c>
      <c r="C9"/>
    </row>
    <row r="10" spans="1:3" x14ac:dyDescent="0.2">
      <c r="A10" s="32"/>
      <c r="B10" s="9"/>
      <c r="C10"/>
    </row>
    <row r="11" spans="1:3" x14ac:dyDescent="0.2">
      <c r="A11" s="33" t="s">
        <v>17</v>
      </c>
      <c r="B11" s="9"/>
      <c r="C11"/>
    </row>
    <row r="12" spans="1:3" x14ac:dyDescent="0.2">
      <c r="A12" s="34">
        <v>5</v>
      </c>
      <c r="B12" s="9">
        <v>345000</v>
      </c>
      <c r="C12"/>
    </row>
    <row r="13" spans="1:3" x14ac:dyDescent="0.2">
      <c r="A13" s="32" t="s">
        <v>22</v>
      </c>
      <c r="B13" s="9">
        <v>345000</v>
      </c>
      <c r="C13"/>
    </row>
    <row r="14" spans="1:3" x14ac:dyDescent="0.2">
      <c r="A14" s="32"/>
      <c r="B14" s="9"/>
      <c r="C14"/>
    </row>
    <row r="15" spans="1:3" x14ac:dyDescent="0.2">
      <c r="A15" s="33" t="s">
        <v>8</v>
      </c>
      <c r="B15" s="9"/>
      <c r="C15"/>
    </row>
    <row r="16" spans="1:3" x14ac:dyDescent="0.2">
      <c r="A16" s="34">
        <v>5</v>
      </c>
      <c r="B16" s="9">
        <v>325000</v>
      </c>
      <c r="C16"/>
    </row>
    <row r="17" spans="1:3" x14ac:dyDescent="0.2">
      <c r="A17" s="34">
        <v>7</v>
      </c>
      <c r="B17" s="9">
        <v>455000</v>
      </c>
      <c r="C17"/>
    </row>
    <row r="18" spans="1:3" x14ac:dyDescent="0.2">
      <c r="A18" s="32" t="s">
        <v>23</v>
      </c>
      <c r="B18" s="9">
        <v>780000</v>
      </c>
      <c r="C18"/>
    </row>
    <row r="19" spans="1:3" x14ac:dyDescent="0.2">
      <c r="A19" s="32"/>
      <c r="B19" s="9"/>
      <c r="C19"/>
    </row>
    <row r="20" spans="1:3" x14ac:dyDescent="0.2">
      <c r="A20" s="33" t="s">
        <v>9</v>
      </c>
      <c r="B20" s="9"/>
      <c r="C20"/>
    </row>
    <row r="21" spans="1:3" x14ac:dyDescent="0.2">
      <c r="A21" s="34">
        <v>5</v>
      </c>
      <c r="B21" s="9">
        <v>377500</v>
      </c>
      <c r="C21"/>
    </row>
    <row r="22" spans="1:3" x14ac:dyDescent="0.2">
      <c r="A22" s="34">
        <v>8</v>
      </c>
      <c r="B22" s="9">
        <v>604000</v>
      </c>
      <c r="C22"/>
    </row>
    <row r="23" spans="1:3" x14ac:dyDescent="0.2">
      <c r="A23" s="32" t="s">
        <v>24</v>
      </c>
      <c r="B23" s="9">
        <v>981500</v>
      </c>
      <c r="C23"/>
    </row>
    <row r="24" spans="1:3" x14ac:dyDescent="0.2">
      <c r="A24" s="32"/>
      <c r="B24" s="9"/>
      <c r="C24"/>
    </row>
    <row r="25" spans="1:3" x14ac:dyDescent="0.2">
      <c r="A25" s="33" t="s">
        <v>12</v>
      </c>
      <c r="B25" s="9"/>
      <c r="C25"/>
    </row>
    <row r="26" spans="1:3" x14ac:dyDescent="0.2">
      <c r="A26" s="34">
        <v>15</v>
      </c>
      <c r="B26" s="9">
        <v>540000</v>
      </c>
      <c r="C26"/>
    </row>
    <row r="27" spans="1:3" x14ac:dyDescent="0.2">
      <c r="A27" s="32" t="s">
        <v>25</v>
      </c>
      <c r="B27" s="9">
        <v>540000</v>
      </c>
      <c r="C27"/>
    </row>
    <row r="28" spans="1:3" x14ac:dyDescent="0.2">
      <c r="A28" s="32"/>
      <c r="B28" s="9"/>
      <c r="C28"/>
    </row>
    <row r="29" spans="1:3" x14ac:dyDescent="0.2">
      <c r="A29" s="33" t="s">
        <v>16</v>
      </c>
      <c r="B29" s="9"/>
      <c r="C29"/>
    </row>
    <row r="30" spans="1:3" x14ac:dyDescent="0.2">
      <c r="A30" s="34">
        <v>12</v>
      </c>
      <c r="B30" s="9">
        <v>420000</v>
      </c>
      <c r="C30"/>
    </row>
    <row r="31" spans="1:3" x14ac:dyDescent="0.2">
      <c r="A31" s="32" t="s">
        <v>26</v>
      </c>
      <c r="B31" s="9">
        <v>420000</v>
      </c>
      <c r="C31"/>
    </row>
    <row r="32" spans="1:3" x14ac:dyDescent="0.2">
      <c r="A32" s="32"/>
      <c r="B32" s="9"/>
      <c r="C32"/>
    </row>
    <row r="33" spans="1:3" x14ac:dyDescent="0.2">
      <c r="A33" s="33" t="s">
        <v>13</v>
      </c>
      <c r="B33" s="9"/>
      <c r="C33"/>
    </row>
    <row r="34" spans="1:3" x14ac:dyDescent="0.2">
      <c r="A34" s="34">
        <v>12</v>
      </c>
      <c r="B34" s="9">
        <v>12000</v>
      </c>
      <c r="C34"/>
    </row>
    <row r="35" spans="1:3" x14ac:dyDescent="0.2">
      <c r="A35" s="34">
        <v>15</v>
      </c>
      <c r="B35" s="9">
        <v>15000</v>
      </c>
      <c r="C35"/>
    </row>
    <row r="36" spans="1:3" x14ac:dyDescent="0.2">
      <c r="A36" s="32" t="s">
        <v>27</v>
      </c>
      <c r="B36" s="9">
        <v>27000</v>
      </c>
      <c r="C36"/>
    </row>
    <row r="37" spans="1:3" x14ac:dyDescent="0.2">
      <c r="A37" s="32"/>
      <c r="B37" s="9"/>
      <c r="C37"/>
    </row>
    <row r="38" spans="1:3" x14ac:dyDescent="0.2">
      <c r="A38" s="33" t="s">
        <v>15</v>
      </c>
      <c r="B38" s="9"/>
      <c r="C38"/>
    </row>
    <row r="39" spans="1:3" x14ac:dyDescent="0.2">
      <c r="A39" s="34">
        <v>5</v>
      </c>
      <c r="B39" s="9">
        <v>225000</v>
      </c>
      <c r="C39"/>
    </row>
    <row r="40" spans="1:3" x14ac:dyDescent="0.2">
      <c r="A40" s="32" t="s">
        <v>28</v>
      </c>
      <c r="B40" s="9">
        <v>225000</v>
      </c>
      <c r="C40"/>
    </row>
    <row r="41" spans="1:3" x14ac:dyDescent="0.2">
      <c r="A41" s="32"/>
      <c r="B41" s="9"/>
      <c r="C41"/>
    </row>
    <row r="42" spans="1:3" x14ac:dyDescent="0.2">
      <c r="A42" s="39" t="s">
        <v>18</v>
      </c>
      <c r="B42" s="29">
        <v>5066000</v>
      </c>
      <c r="C42"/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23"/>
  <sheetViews>
    <sheetView workbookViewId="0"/>
  </sheetViews>
  <sheetFormatPr defaultRowHeight="15" x14ac:dyDescent="0.25"/>
  <cols>
    <col min="1" max="1" width="21.875" style="26" customWidth="1"/>
    <col min="2" max="2" width="17.375" style="31" customWidth="1"/>
    <col min="3" max="3" width="17.375" bestFit="1" customWidth="1"/>
  </cols>
  <sheetData>
    <row r="1" spans="1:2" ht="14.25" x14ac:dyDescent="0.2">
      <c r="A1" s="30" t="s">
        <v>29</v>
      </c>
      <c r="B1" s="27" t="s">
        <v>19</v>
      </c>
    </row>
    <row r="2" spans="1:2" ht="14.25" x14ac:dyDescent="0.2">
      <c r="A2" s="35" t="s">
        <v>14</v>
      </c>
      <c r="B2" s="9"/>
    </row>
    <row r="3" spans="1:2" x14ac:dyDescent="0.25">
      <c r="A3" s="42">
        <v>5</v>
      </c>
      <c r="B3" s="9">
        <v>157500</v>
      </c>
    </row>
    <row r="4" spans="1:2" ht="14.25" x14ac:dyDescent="0.2">
      <c r="A4" s="38" t="s">
        <v>20</v>
      </c>
      <c r="B4" s="9">
        <v>157500</v>
      </c>
    </row>
    <row r="5" spans="1:2" ht="14.25" x14ac:dyDescent="0.2">
      <c r="A5" s="32"/>
      <c r="B5" s="9"/>
    </row>
    <row r="6" spans="1:2" ht="14.25" x14ac:dyDescent="0.2">
      <c r="A6" s="35" t="s">
        <v>15</v>
      </c>
      <c r="B6" s="9"/>
    </row>
    <row r="7" spans="1:2" x14ac:dyDescent="0.25">
      <c r="A7" s="42">
        <v>3</v>
      </c>
      <c r="B7" s="9">
        <v>141750</v>
      </c>
    </row>
    <row r="8" spans="1:2" ht="14.25" x14ac:dyDescent="0.2">
      <c r="A8" s="38" t="s">
        <v>28</v>
      </c>
      <c r="B8" s="9">
        <v>141750</v>
      </c>
    </row>
    <row r="9" spans="1:2" ht="14.25" x14ac:dyDescent="0.2">
      <c r="A9" s="32"/>
      <c r="B9" s="9"/>
    </row>
    <row r="10" spans="1:2" ht="14.25" x14ac:dyDescent="0.2">
      <c r="A10" s="35" t="s">
        <v>8</v>
      </c>
      <c r="B10" s="9"/>
    </row>
    <row r="11" spans="1:2" ht="14.25" x14ac:dyDescent="0.2">
      <c r="A11" s="36">
        <v>3</v>
      </c>
      <c r="B11" s="9">
        <v>204750</v>
      </c>
    </row>
    <row r="12" spans="1:2" ht="14.25" x14ac:dyDescent="0.2">
      <c r="A12" s="38" t="s">
        <v>23</v>
      </c>
      <c r="B12" s="9">
        <v>204750</v>
      </c>
    </row>
    <row r="13" spans="1:2" ht="14.25" x14ac:dyDescent="0.2">
      <c r="A13" s="32"/>
      <c r="B13" s="9"/>
    </row>
    <row r="14" spans="1:2" ht="14.25" x14ac:dyDescent="0.2">
      <c r="A14" s="37" t="s">
        <v>18</v>
      </c>
      <c r="B14" s="27">
        <v>504000</v>
      </c>
    </row>
    <row r="15" spans="1:2" ht="14.25" x14ac:dyDescent="0.2">
      <c r="A15"/>
      <c r="B15"/>
    </row>
    <row r="16" spans="1:2" ht="14.25" x14ac:dyDescent="0.2">
      <c r="A16"/>
      <c r="B16"/>
    </row>
    <row r="17" spans="1:2" ht="14.25" x14ac:dyDescent="0.2">
      <c r="A17"/>
      <c r="B17"/>
    </row>
    <row r="18" spans="1:2" ht="14.25" x14ac:dyDescent="0.2">
      <c r="A18"/>
      <c r="B18"/>
    </row>
    <row r="19" spans="1:2" ht="14.25" x14ac:dyDescent="0.2">
      <c r="A19"/>
      <c r="B19"/>
    </row>
    <row r="20" spans="1:2" ht="14.25" x14ac:dyDescent="0.2">
      <c r="A20"/>
      <c r="B20"/>
    </row>
    <row r="21" spans="1:2" ht="14.25" x14ac:dyDescent="0.2">
      <c r="A21"/>
      <c r="B21"/>
    </row>
    <row r="22" spans="1:2" ht="14.25" x14ac:dyDescent="0.2">
      <c r="A22"/>
      <c r="B22"/>
    </row>
    <row r="23" spans="1:2" ht="14.25" x14ac:dyDescent="0.2">
      <c r="A23"/>
      <c r="B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Purchase_Entry</vt:lpstr>
      <vt:lpstr>Sales_Entry</vt:lpstr>
      <vt:lpstr>Purchase</vt:lpstr>
      <vt:lpstr>Sales</vt:lpstr>
      <vt:lpstr>Stock</vt:lpstr>
      <vt:lpstr>Purchase_Report</vt:lpstr>
      <vt:lpstr>Sales_Report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saqib Rafeeq</dc:creator>
  <cp:lastModifiedBy>saqib Rafeeq</cp:lastModifiedBy>
  <cp:lastPrinted>2026-01-19T15:50:24Z</cp:lastPrinted>
  <dcterms:created xsi:type="dcterms:W3CDTF">2026-01-19T15:21:13Z</dcterms:created>
  <dcterms:modified xsi:type="dcterms:W3CDTF">2026-03-24T16:23:33Z</dcterms:modified>
</cp:coreProperties>
</file>