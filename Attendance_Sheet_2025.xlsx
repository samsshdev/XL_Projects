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ductivity\Spreadsheets\"/>
    </mc:Choice>
  </mc:AlternateContent>
  <bookViews>
    <workbookView xWindow="0" yWindow="0" windowWidth="20490" windowHeight="7650" activeTab="6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2" r:id="rId11"/>
    <sheet name="December" sheetId="1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8" l="1"/>
  <c r="AK16" i="11"/>
  <c r="AJ16" i="9"/>
  <c r="AK15" i="8"/>
  <c r="AK19" i="7"/>
  <c r="AJ17" i="6"/>
  <c r="AK16" i="5"/>
  <c r="AJ16" i="4"/>
  <c r="AK14" i="3"/>
  <c r="AH11" i="2"/>
  <c r="E63" i="11"/>
  <c r="F10" i="11"/>
  <c r="E63" i="10"/>
  <c r="F10" i="10"/>
  <c r="G10" i="10" s="1"/>
  <c r="AL38" i="8"/>
  <c r="E63" i="8"/>
  <c r="G10" i="8"/>
  <c r="E63" i="7"/>
  <c r="F10" i="7"/>
  <c r="AK40" i="11"/>
  <c r="AL40" i="11" s="1"/>
  <c r="AK39" i="11"/>
  <c r="AL39" i="11" s="1"/>
  <c r="AK38" i="11"/>
  <c r="AL38" i="11" s="1"/>
  <c r="AK37" i="11"/>
  <c r="AL37" i="11" s="1"/>
  <c r="AK36" i="11"/>
  <c r="AL36" i="11" s="1"/>
  <c r="AK35" i="11"/>
  <c r="AL35" i="11" s="1"/>
  <c r="AK34" i="11"/>
  <c r="AL34" i="11" s="1"/>
  <c r="AK33" i="11"/>
  <c r="AL33" i="11" s="1"/>
  <c r="AK32" i="11"/>
  <c r="AL32" i="11" s="1"/>
  <c r="AK31" i="11"/>
  <c r="AL31" i="11" s="1"/>
  <c r="AK30" i="11"/>
  <c r="AL30" i="11" s="1"/>
  <c r="AK29" i="11"/>
  <c r="AL29" i="11" s="1"/>
  <c r="AK28" i="11"/>
  <c r="AL28" i="11" s="1"/>
  <c r="AK27" i="11"/>
  <c r="AL27" i="11" s="1"/>
  <c r="AK26" i="11"/>
  <c r="AL26" i="11" s="1"/>
  <c r="AK25" i="11"/>
  <c r="AL25" i="11" s="1"/>
  <c r="AK24" i="11"/>
  <c r="AL24" i="11" s="1"/>
  <c r="AK23" i="11"/>
  <c r="AL23" i="11" s="1"/>
  <c r="AK22" i="11"/>
  <c r="AL22" i="11" s="1"/>
  <c r="AK21" i="11"/>
  <c r="AL21" i="11" s="1"/>
  <c r="AK20" i="11"/>
  <c r="AL20" i="11" s="1"/>
  <c r="AK19" i="11"/>
  <c r="AL19" i="11" s="1"/>
  <c r="AK18" i="11"/>
  <c r="AL18" i="11" s="1"/>
  <c r="AK17" i="11"/>
  <c r="AL17" i="11" s="1"/>
  <c r="AL16" i="11"/>
  <c r="AK15" i="11"/>
  <c r="AL15" i="11" s="1"/>
  <c r="AK14" i="11"/>
  <c r="AL14" i="11" s="1"/>
  <c r="AK13" i="11"/>
  <c r="AL13" i="11" s="1"/>
  <c r="AK12" i="11"/>
  <c r="AL12" i="11" s="1"/>
  <c r="AK11" i="11"/>
  <c r="AL11" i="11" s="1"/>
  <c r="G10" i="11"/>
  <c r="AK40" i="10"/>
  <c r="AL40" i="10" s="1"/>
  <c r="AK39" i="10"/>
  <c r="AL39" i="10" s="1"/>
  <c r="AK38" i="10"/>
  <c r="AL38" i="10" s="1"/>
  <c r="AK37" i="10"/>
  <c r="AL37" i="10" s="1"/>
  <c r="AK36" i="10"/>
  <c r="AL36" i="10" s="1"/>
  <c r="AK35" i="10"/>
  <c r="AL35" i="10" s="1"/>
  <c r="AK34" i="10"/>
  <c r="AL34" i="10" s="1"/>
  <c r="AK33" i="10"/>
  <c r="AL33" i="10" s="1"/>
  <c r="AK32" i="10"/>
  <c r="AL32" i="10" s="1"/>
  <c r="AK31" i="10"/>
  <c r="AL31" i="10" s="1"/>
  <c r="AK30" i="10"/>
  <c r="AL30" i="10" s="1"/>
  <c r="AK29" i="10"/>
  <c r="AL29" i="10" s="1"/>
  <c r="AK28" i="10"/>
  <c r="AL28" i="10" s="1"/>
  <c r="AK27" i="10"/>
  <c r="AL27" i="10" s="1"/>
  <c r="AK26" i="10"/>
  <c r="AL26" i="10" s="1"/>
  <c r="AK25" i="10"/>
  <c r="AL25" i="10" s="1"/>
  <c r="AK24" i="10"/>
  <c r="AL24" i="10" s="1"/>
  <c r="AK23" i="10"/>
  <c r="AL23" i="10" s="1"/>
  <c r="AK22" i="10"/>
  <c r="AL22" i="10" s="1"/>
  <c r="AK21" i="10"/>
  <c r="AL21" i="10" s="1"/>
  <c r="AK20" i="10"/>
  <c r="AL20" i="10" s="1"/>
  <c r="AK19" i="10"/>
  <c r="AL19" i="10" s="1"/>
  <c r="AK18" i="10"/>
  <c r="AL18" i="10" s="1"/>
  <c r="AK17" i="10"/>
  <c r="AL17" i="10" s="1"/>
  <c r="AK16" i="10"/>
  <c r="AL16" i="10" s="1"/>
  <c r="AK15" i="10"/>
  <c r="AL15" i="10" s="1"/>
  <c r="AK14" i="10"/>
  <c r="AL14" i="10" s="1"/>
  <c r="AK13" i="10"/>
  <c r="AL13" i="10" s="1"/>
  <c r="AK12" i="10"/>
  <c r="AL12" i="10" s="1"/>
  <c r="AK11" i="10"/>
  <c r="AL11" i="10" s="1"/>
  <c r="AK40" i="8"/>
  <c r="AL40" i="8" s="1"/>
  <c r="AK39" i="8"/>
  <c r="AL39" i="8" s="1"/>
  <c r="AK38" i="8"/>
  <c r="AK37" i="8"/>
  <c r="AL37" i="8" s="1"/>
  <c r="AK36" i="8"/>
  <c r="AL36" i="8" s="1"/>
  <c r="AK35" i="8"/>
  <c r="AL35" i="8" s="1"/>
  <c r="AK34" i="8"/>
  <c r="AL34" i="8" s="1"/>
  <c r="AK33" i="8"/>
  <c r="AL33" i="8" s="1"/>
  <c r="AK32" i="8"/>
  <c r="AL32" i="8" s="1"/>
  <c r="AK31" i="8"/>
  <c r="AL31" i="8" s="1"/>
  <c r="AK30" i="8"/>
  <c r="AL30" i="8" s="1"/>
  <c r="AK29" i="8"/>
  <c r="AL29" i="8" s="1"/>
  <c r="AK28" i="8"/>
  <c r="AL28" i="8" s="1"/>
  <c r="AK27" i="8"/>
  <c r="AL27" i="8" s="1"/>
  <c r="AK26" i="8"/>
  <c r="AL26" i="8" s="1"/>
  <c r="AK25" i="8"/>
  <c r="AL25" i="8" s="1"/>
  <c r="AK24" i="8"/>
  <c r="AL24" i="8" s="1"/>
  <c r="AK23" i="8"/>
  <c r="AL23" i="8" s="1"/>
  <c r="AK22" i="8"/>
  <c r="AL22" i="8" s="1"/>
  <c r="AK21" i="8"/>
  <c r="AL21" i="8" s="1"/>
  <c r="AK20" i="8"/>
  <c r="AL20" i="8" s="1"/>
  <c r="AK19" i="8"/>
  <c r="AL19" i="8" s="1"/>
  <c r="AK18" i="8"/>
  <c r="AL18" i="8" s="1"/>
  <c r="AK17" i="8"/>
  <c r="AL17" i="8" s="1"/>
  <c r="AK16" i="8"/>
  <c r="AL16" i="8" s="1"/>
  <c r="AL15" i="8"/>
  <c r="AK14" i="8"/>
  <c r="AL14" i="8" s="1"/>
  <c r="AK13" i="8"/>
  <c r="AL13" i="8" s="1"/>
  <c r="AK12" i="8"/>
  <c r="AL12" i="8" s="1"/>
  <c r="AK11" i="8"/>
  <c r="AL11" i="8" s="1"/>
  <c r="AK40" i="7"/>
  <c r="AL40" i="7" s="1"/>
  <c r="AK39" i="7"/>
  <c r="AL39" i="7" s="1"/>
  <c r="AK38" i="7"/>
  <c r="AL38" i="7" s="1"/>
  <c r="AK37" i="7"/>
  <c r="AL37" i="7" s="1"/>
  <c r="AK36" i="7"/>
  <c r="AL36" i="7" s="1"/>
  <c r="AK35" i="7"/>
  <c r="AL35" i="7" s="1"/>
  <c r="AK34" i="7"/>
  <c r="AL34" i="7" s="1"/>
  <c r="AK33" i="7"/>
  <c r="AL33" i="7" s="1"/>
  <c r="AK32" i="7"/>
  <c r="AL32" i="7" s="1"/>
  <c r="AK31" i="7"/>
  <c r="AL31" i="7" s="1"/>
  <c r="AK30" i="7"/>
  <c r="AL30" i="7" s="1"/>
  <c r="AK29" i="7"/>
  <c r="AL29" i="7" s="1"/>
  <c r="AK28" i="7"/>
  <c r="AL28" i="7" s="1"/>
  <c r="AK27" i="7"/>
  <c r="AL27" i="7" s="1"/>
  <c r="AK26" i="7"/>
  <c r="AL26" i="7" s="1"/>
  <c r="AK25" i="7"/>
  <c r="AL25" i="7" s="1"/>
  <c r="AK24" i="7"/>
  <c r="AL24" i="7" s="1"/>
  <c r="AK23" i="7"/>
  <c r="AL23" i="7" s="1"/>
  <c r="AK22" i="7"/>
  <c r="AL22" i="7" s="1"/>
  <c r="AK21" i="7"/>
  <c r="AL21" i="7" s="1"/>
  <c r="AK20" i="7"/>
  <c r="AL20" i="7" s="1"/>
  <c r="AL19" i="7"/>
  <c r="AK18" i="7"/>
  <c r="AL18" i="7" s="1"/>
  <c r="AK17" i="7"/>
  <c r="AL17" i="7" s="1"/>
  <c r="AK16" i="7"/>
  <c r="AL16" i="7" s="1"/>
  <c r="AK15" i="7"/>
  <c r="AL15" i="7" s="1"/>
  <c r="AK14" i="7"/>
  <c r="AL14" i="7" s="1"/>
  <c r="AK13" i="7"/>
  <c r="AL13" i="7" s="1"/>
  <c r="AK12" i="7"/>
  <c r="AL12" i="7" s="1"/>
  <c r="AK11" i="7"/>
  <c r="AL11" i="7" s="1"/>
  <c r="G10" i="7"/>
  <c r="AK13" i="12"/>
  <c r="AK17" i="12"/>
  <c r="AK21" i="12"/>
  <c r="AK25" i="12"/>
  <c r="AK29" i="12"/>
  <c r="AK33" i="12"/>
  <c r="AK37" i="12"/>
  <c r="E63" i="12"/>
  <c r="F10" i="12"/>
  <c r="F9" i="12" s="1"/>
  <c r="F10" i="9"/>
  <c r="G10" i="9" s="1"/>
  <c r="H10" i="9" s="1"/>
  <c r="E63" i="9"/>
  <c r="E63" i="6"/>
  <c r="F10" i="6"/>
  <c r="AJ40" i="12"/>
  <c r="AK40" i="12" s="1"/>
  <c r="AJ39" i="12"/>
  <c r="AK39" i="12" s="1"/>
  <c r="AJ38" i="12"/>
  <c r="AK38" i="12" s="1"/>
  <c r="AJ37" i="12"/>
  <c r="AJ36" i="12"/>
  <c r="AK36" i="12" s="1"/>
  <c r="AJ35" i="12"/>
  <c r="AK35" i="12" s="1"/>
  <c r="AJ34" i="12"/>
  <c r="AK34" i="12" s="1"/>
  <c r="AJ33" i="12"/>
  <c r="AJ32" i="12"/>
  <c r="AK32" i="12" s="1"/>
  <c r="AJ31" i="12"/>
  <c r="AK31" i="12" s="1"/>
  <c r="AJ30" i="12"/>
  <c r="AK30" i="12" s="1"/>
  <c r="AJ29" i="12"/>
  <c r="AJ28" i="12"/>
  <c r="AK28" i="12" s="1"/>
  <c r="AJ27" i="12"/>
  <c r="AK27" i="12" s="1"/>
  <c r="AJ26" i="12"/>
  <c r="AK26" i="12" s="1"/>
  <c r="AJ25" i="12"/>
  <c r="AJ24" i="12"/>
  <c r="AK24" i="12" s="1"/>
  <c r="AJ23" i="12"/>
  <c r="AK23" i="12" s="1"/>
  <c r="AJ22" i="12"/>
  <c r="AK22" i="12" s="1"/>
  <c r="AJ21" i="12"/>
  <c r="AJ20" i="12"/>
  <c r="AK20" i="12" s="1"/>
  <c r="AJ19" i="12"/>
  <c r="AK19" i="12" s="1"/>
  <c r="AJ18" i="12"/>
  <c r="AK18" i="12" s="1"/>
  <c r="AJ17" i="12"/>
  <c r="AJ16" i="12"/>
  <c r="AK16" i="12" s="1"/>
  <c r="AJ15" i="12"/>
  <c r="AK15" i="12" s="1"/>
  <c r="AJ14" i="12"/>
  <c r="AK14" i="12" s="1"/>
  <c r="AJ13" i="12"/>
  <c r="AJ12" i="12"/>
  <c r="AK12" i="12" s="1"/>
  <c r="AJ11" i="12"/>
  <c r="AK11" i="12" s="1"/>
  <c r="G10" i="12"/>
  <c r="H10" i="12" s="1"/>
  <c r="AJ40" i="9"/>
  <c r="AK40" i="9" s="1"/>
  <c r="AJ39" i="9"/>
  <c r="AK39" i="9" s="1"/>
  <c r="AJ38" i="9"/>
  <c r="AK38" i="9" s="1"/>
  <c r="AJ37" i="9"/>
  <c r="AK37" i="9" s="1"/>
  <c r="AJ36" i="9"/>
  <c r="AK36" i="9" s="1"/>
  <c r="AJ35" i="9"/>
  <c r="AK35" i="9" s="1"/>
  <c r="AJ34" i="9"/>
  <c r="AK34" i="9" s="1"/>
  <c r="AJ33" i="9"/>
  <c r="AK33" i="9" s="1"/>
  <c r="AJ32" i="9"/>
  <c r="AK32" i="9" s="1"/>
  <c r="AJ31" i="9"/>
  <c r="AK31" i="9" s="1"/>
  <c r="AJ30" i="9"/>
  <c r="AK30" i="9" s="1"/>
  <c r="AJ29" i="9"/>
  <c r="AK29" i="9" s="1"/>
  <c r="AJ28" i="9"/>
  <c r="AK28" i="9" s="1"/>
  <c r="AJ27" i="9"/>
  <c r="AK27" i="9" s="1"/>
  <c r="AJ26" i="9"/>
  <c r="AK26" i="9" s="1"/>
  <c r="AJ25" i="9"/>
  <c r="AK25" i="9" s="1"/>
  <c r="AJ24" i="9"/>
  <c r="AK24" i="9" s="1"/>
  <c r="AJ23" i="9"/>
  <c r="AK23" i="9" s="1"/>
  <c r="AJ22" i="9"/>
  <c r="AK22" i="9" s="1"/>
  <c r="AJ21" i="9"/>
  <c r="AK21" i="9" s="1"/>
  <c r="AJ20" i="9"/>
  <c r="AK20" i="9" s="1"/>
  <c r="AJ19" i="9"/>
  <c r="AK19" i="9" s="1"/>
  <c r="AJ18" i="9"/>
  <c r="AK18" i="9" s="1"/>
  <c r="AJ17" i="9"/>
  <c r="AK17" i="9" s="1"/>
  <c r="AK16" i="9"/>
  <c r="AJ15" i="9"/>
  <c r="AK15" i="9" s="1"/>
  <c r="AJ14" i="9"/>
  <c r="AK14" i="9" s="1"/>
  <c r="AJ13" i="9"/>
  <c r="AK13" i="9" s="1"/>
  <c r="AJ12" i="9"/>
  <c r="AK12" i="9" s="1"/>
  <c r="AJ11" i="9"/>
  <c r="F9" i="9"/>
  <c r="AJ40" i="6"/>
  <c r="AK40" i="6" s="1"/>
  <c r="AJ39" i="6"/>
  <c r="AK39" i="6" s="1"/>
  <c r="AJ38" i="6"/>
  <c r="AK38" i="6" s="1"/>
  <c r="AJ37" i="6"/>
  <c r="AK37" i="6" s="1"/>
  <c r="AJ36" i="6"/>
  <c r="AK36" i="6" s="1"/>
  <c r="AJ35" i="6"/>
  <c r="AK35" i="6" s="1"/>
  <c r="AJ34" i="6"/>
  <c r="AK34" i="6" s="1"/>
  <c r="AJ33" i="6"/>
  <c r="AK33" i="6" s="1"/>
  <c r="AJ32" i="6"/>
  <c r="AK32" i="6" s="1"/>
  <c r="AJ31" i="6"/>
  <c r="AK31" i="6" s="1"/>
  <c r="AJ30" i="6"/>
  <c r="AK30" i="6" s="1"/>
  <c r="AJ29" i="6"/>
  <c r="AK29" i="6" s="1"/>
  <c r="AJ28" i="6"/>
  <c r="AK28" i="6" s="1"/>
  <c r="AJ27" i="6"/>
  <c r="AK27" i="6" s="1"/>
  <c r="AJ26" i="6"/>
  <c r="AK26" i="6" s="1"/>
  <c r="AJ25" i="6"/>
  <c r="AK25" i="6" s="1"/>
  <c r="AJ24" i="6"/>
  <c r="AK24" i="6" s="1"/>
  <c r="AJ23" i="6"/>
  <c r="AK23" i="6" s="1"/>
  <c r="AJ22" i="6"/>
  <c r="AK22" i="6" s="1"/>
  <c r="AJ21" i="6"/>
  <c r="AK21" i="6" s="1"/>
  <c r="AJ20" i="6"/>
  <c r="AK20" i="6" s="1"/>
  <c r="AJ19" i="6"/>
  <c r="AK19" i="6" s="1"/>
  <c r="AJ18" i="6"/>
  <c r="AK18" i="6" s="1"/>
  <c r="AK17" i="6"/>
  <c r="AJ16" i="6"/>
  <c r="AK16" i="6" s="1"/>
  <c r="AJ15" i="6"/>
  <c r="AK15" i="6" s="1"/>
  <c r="AJ14" i="6"/>
  <c r="AK14" i="6" s="1"/>
  <c r="AJ13" i="6"/>
  <c r="AK13" i="6" s="1"/>
  <c r="AJ12" i="6"/>
  <c r="AK12" i="6" s="1"/>
  <c r="AJ11" i="6"/>
  <c r="E62" i="6" s="1"/>
  <c r="AK44" i="6" s="1"/>
  <c r="F9" i="6"/>
  <c r="E63" i="5"/>
  <c r="F10" i="5"/>
  <c r="AJ34" i="4"/>
  <c r="AJ12" i="4"/>
  <c r="AJ13" i="4"/>
  <c r="AJ14" i="4"/>
  <c r="AJ15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5" i="4"/>
  <c r="AJ36" i="4"/>
  <c r="AJ37" i="4"/>
  <c r="AJ38" i="4"/>
  <c r="AJ39" i="4"/>
  <c r="AJ40" i="4"/>
  <c r="AJ11" i="4"/>
  <c r="AK11" i="4" s="1"/>
  <c r="E63" i="4"/>
  <c r="F10" i="4"/>
  <c r="G10" i="4" s="1"/>
  <c r="AK40" i="5"/>
  <c r="AL40" i="5" s="1"/>
  <c r="AK39" i="5"/>
  <c r="AL39" i="5" s="1"/>
  <c r="AK38" i="5"/>
  <c r="AL38" i="5" s="1"/>
  <c r="AK37" i="5"/>
  <c r="AL37" i="5" s="1"/>
  <c r="AK36" i="5"/>
  <c r="AL36" i="5" s="1"/>
  <c r="AK35" i="5"/>
  <c r="AL35" i="5" s="1"/>
  <c r="AK34" i="5"/>
  <c r="AL34" i="5" s="1"/>
  <c r="AK33" i="5"/>
  <c r="AL33" i="5" s="1"/>
  <c r="AK32" i="5"/>
  <c r="AL32" i="5" s="1"/>
  <c r="AK31" i="5"/>
  <c r="AL31" i="5" s="1"/>
  <c r="AK30" i="5"/>
  <c r="AL30" i="5" s="1"/>
  <c r="AK29" i="5"/>
  <c r="AL29" i="5" s="1"/>
  <c r="AK28" i="5"/>
  <c r="AL28" i="5" s="1"/>
  <c r="AK27" i="5"/>
  <c r="AL27" i="5" s="1"/>
  <c r="AK26" i="5"/>
  <c r="AL26" i="5" s="1"/>
  <c r="AK25" i="5"/>
  <c r="AL25" i="5" s="1"/>
  <c r="AK24" i="5"/>
  <c r="AL24" i="5" s="1"/>
  <c r="AK23" i="5"/>
  <c r="AL23" i="5" s="1"/>
  <c r="AK22" i="5"/>
  <c r="AL22" i="5" s="1"/>
  <c r="AK21" i="5"/>
  <c r="AL21" i="5" s="1"/>
  <c r="AK20" i="5"/>
  <c r="AL20" i="5" s="1"/>
  <c r="AK19" i="5"/>
  <c r="AL19" i="5" s="1"/>
  <c r="AK18" i="5"/>
  <c r="AL18" i="5" s="1"/>
  <c r="AK17" i="5"/>
  <c r="AL17" i="5" s="1"/>
  <c r="AL16" i="5"/>
  <c r="AK15" i="5"/>
  <c r="AL15" i="5" s="1"/>
  <c r="AK14" i="5"/>
  <c r="AL14" i="5" s="1"/>
  <c r="AK13" i="5"/>
  <c r="AL13" i="5" s="1"/>
  <c r="AK12" i="5"/>
  <c r="AL12" i="5" s="1"/>
  <c r="AK11" i="5"/>
  <c r="AL11" i="5" s="1"/>
  <c r="G10" i="5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32" i="3"/>
  <c r="AL32" i="3" s="1"/>
  <c r="AK12" i="3"/>
  <c r="AL12" i="3" s="1"/>
  <c r="AK13" i="3"/>
  <c r="AL13" i="3" s="1"/>
  <c r="AL14" i="3"/>
  <c r="AK15" i="3"/>
  <c r="AL15" i="3" s="1"/>
  <c r="AK16" i="3"/>
  <c r="AL16" i="3" s="1"/>
  <c r="AK17" i="3"/>
  <c r="AL17" i="3" s="1"/>
  <c r="AK18" i="3"/>
  <c r="AL18" i="3" s="1"/>
  <c r="AK19" i="3"/>
  <c r="AL19" i="3" s="1"/>
  <c r="AK20" i="3"/>
  <c r="AL20" i="3" s="1"/>
  <c r="AK21" i="3"/>
  <c r="AL21" i="3" s="1"/>
  <c r="AK22" i="3"/>
  <c r="AL22" i="3" s="1"/>
  <c r="AK23" i="3"/>
  <c r="AL23" i="3" s="1"/>
  <c r="AK24" i="3"/>
  <c r="AL24" i="3" s="1"/>
  <c r="AK25" i="3"/>
  <c r="AL25" i="3" s="1"/>
  <c r="AK26" i="3"/>
  <c r="AL26" i="3" s="1"/>
  <c r="AK27" i="3"/>
  <c r="AL27" i="3" s="1"/>
  <c r="AK28" i="3"/>
  <c r="AL28" i="3" s="1"/>
  <c r="AK29" i="3"/>
  <c r="AL29" i="3" s="1"/>
  <c r="AK30" i="3"/>
  <c r="AL30" i="3" s="1"/>
  <c r="AK31" i="3"/>
  <c r="AL31" i="3" s="1"/>
  <c r="AK33" i="3"/>
  <c r="AL33" i="3" s="1"/>
  <c r="AK34" i="3"/>
  <c r="AL34" i="3" s="1"/>
  <c r="AK35" i="3"/>
  <c r="AL35" i="3" s="1"/>
  <c r="AK36" i="3"/>
  <c r="AL36" i="3" s="1"/>
  <c r="AK37" i="3"/>
  <c r="AL37" i="3" s="1"/>
  <c r="AK38" i="3"/>
  <c r="AL38" i="3" s="1"/>
  <c r="AK39" i="3"/>
  <c r="AL39" i="3" s="1"/>
  <c r="AK40" i="3"/>
  <c r="AL40" i="3" s="1"/>
  <c r="AK11" i="3"/>
  <c r="AL11" i="3" s="1"/>
  <c r="E63" i="3"/>
  <c r="F10" i="3"/>
  <c r="G10" i="3" s="1"/>
  <c r="AH13" i="2"/>
  <c r="AI13" i="2" s="1"/>
  <c r="AH12" i="2"/>
  <c r="AI12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I23" i="2" s="1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31" i="2"/>
  <c r="AI31" i="2" s="1"/>
  <c r="AH32" i="2"/>
  <c r="AI32" i="2" s="1"/>
  <c r="AH33" i="2"/>
  <c r="AI33" i="2" s="1"/>
  <c r="AH34" i="2"/>
  <c r="AI34" i="2" s="1"/>
  <c r="AH35" i="2"/>
  <c r="AI35" i="2" s="1"/>
  <c r="AH36" i="2"/>
  <c r="AI36" i="2" s="1"/>
  <c r="AH37" i="2"/>
  <c r="AI37" i="2" s="1"/>
  <c r="AH38" i="2"/>
  <c r="AI38" i="2" s="1"/>
  <c r="AH39" i="2"/>
  <c r="AH40" i="2"/>
  <c r="AI40" i="2" s="1"/>
  <c r="AI11" i="2"/>
  <c r="F10" i="2"/>
  <c r="G10" i="2" s="1"/>
  <c r="G9" i="2" s="1"/>
  <c r="AK12" i="1"/>
  <c r="AL12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6" i="1"/>
  <c r="AL26" i="1" s="1"/>
  <c r="AK27" i="1"/>
  <c r="AL27" i="1" s="1"/>
  <c r="AK28" i="1"/>
  <c r="AL28" i="1" s="1"/>
  <c r="AK29" i="1"/>
  <c r="AL29" i="1" s="1"/>
  <c r="AK30" i="1"/>
  <c r="AL30" i="1" s="1"/>
  <c r="AK31" i="1"/>
  <c r="AL31" i="1" s="1"/>
  <c r="AK32" i="1"/>
  <c r="AK33" i="1"/>
  <c r="AL33" i="1" s="1"/>
  <c r="AK34" i="1"/>
  <c r="AL34" i="1" s="1"/>
  <c r="AK35" i="1"/>
  <c r="AL35" i="1" s="1"/>
  <c r="AK36" i="1"/>
  <c r="AL36" i="1" s="1"/>
  <c r="AK37" i="1"/>
  <c r="AL37" i="1" s="1"/>
  <c r="AK38" i="1"/>
  <c r="AL38" i="1" s="1"/>
  <c r="AK39" i="1"/>
  <c r="AL39" i="1" s="1"/>
  <c r="AK40" i="1"/>
  <c r="AL40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L32" i="1"/>
  <c r="AK11" i="1"/>
  <c r="AL11" i="1" s="1"/>
  <c r="F10" i="1"/>
  <c r="F9" i="1" s="1"/>
  <c r="E63" i="1"/>
  <c r="G10" i="6" l="1"/>
  <c r="H10" i="6" s="1"/>
  <c r="F9" i="2"/>
  <c r="E62" i="11"/>
  <c r="AL44" i="11" s="1"/>
  <c r="E62" i="10"/>
  <c r="AL44" i="10" s="1"/>
  <c r="E62" i="8"/>
  <c r="AL44" i="8" s="1"/>
  <c r="E62" i="7"/>
  <c r="AL44" i="7" s="1"/>
  <c r="H10" i="11"/>
  <c r="G9" i="11"/>
  <c r="F9" i="11"/>
  <c r="H10" i="10"/>
  <c r="G9" i="10"/>
  <c r="F9" i="10"/>
  <c r="H10" i="8"/>
  <c r="G9" i="8"/>
  <c r="F9" i="8"/>
  <c r="H10" i="7"/>
  <c r="G9" i="7"/>
  <c r="F9" i="7"/>
  <c r="E62" i="12"/>
  <c r="AK44" i="12" s="1"/>
  <c r="G9" i="12"/>
  <c r="E62" i="9"/>
  <c r="AK44" i="9" s="1"/>
  <c r="AK11" i="9"/>
  <c r="G9" i="9"/>
  <c r="AK11" i="6"/>
  <c r="G9" i="6"/>
  <c r="H9" i="12"/>
  <c r="I10" i="12"/>
  <c r="H9" i="9"/>
  <c r="I10" i="9"/>
  <c r="H9" i="6"/>
  <c r="I10" i="6"/>
  <c r="E62" i="5"/>
  <c r="AL44" i="5" s="1"/>
  <c r="E62" i="4"/>
  <c r="AK44" i="4" s="1"/>
  <c r="H10" i="5"/>
  <c r="G9" i="5"/>
  <c r="F9" i="5"/>
  <c r="H10" i="4"/>
  <c r="G9" i="4"/>
  <c r="F9" i="4"/>
  <c r="E62" i="3"/>
  <c r="AL44" i="3" s="1"/>
  <c r="F9" i="3"/>
  <c r="E63" i="2"/>
  <c r="AI44" i="2" s="1"/>
  <c r="AI39" i="2"/>
  <c r="H10" i="2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E62" i="1"/>
  <c r="AL44" i="1" s="1"/>
  <c r="G10" i="1"/>
  <c r="I10" i="11" l="1"/>
  <c r="H9" i="11"/>
  <c r="I10" i="10"/>
  <c r="H9" i="10"/>
  <c r="I10" i="8"/>
  <c r="H9" i="8"/>
  <c r="I10" i="7"/>
  <c r="H9" i="7"/>
  <c r="J10" i="12"/>
  <c r="I9" i="12"/>
  <c r="J10" i="9"/>
  <c r="I9" i="9"/>
  <c r="J10" i="6"/>
  <c r="I9" i="6"/>
  <c r="I10" i="5"/>
  <c r="H9" i="5"/>
  <c r="I10" i="4"/>
  <c r="H9" i="4"/>
  <c r="H10" i="3"/>
  <c r="G9" i="3"/>
  <c r="H10" i="1"/>
  <c r="G9" i="1"/>
  <c r="J10" i="11" l="1"/>
  <c r="I9" i="11"/>
  <c r="J10" i="10"/>
  <c r="I9" i="10"/>
  <c r="J10" i="8"/>
  <c r="I9" i="8"/>
  <c r="J10" i="7"/>
  <c r="I9" i="7"/>
  <c r="J9" i="12"/>
  <c r="K10" i="12"/>
  <c r="J9" i="9"/>
  <c r="K10" i="9"/>
  <c r="J9" i="6"/>
  <c r="K10" i="6"/>
  <c r="J10" i="5"/>
  <c r="I9" i="5"/>
  <c r="J10" i="4"/>
  <c r="I9" i="4"/>
  <c r="I10" i="3"/>
  <c r="H9" i="3"/>
  <c r="H9" i="2"/>
  <c r="I10" i="1"/>
  <c r="H9" i="1"/>
  <c r="K10" i="11" l="1"/>
  <c r="J9" i="11"/>
  <c r="K10" i="10"/>
  <c r="J9" i="10"/>
  <c r="K10" i="8"/>
  <c r="J9" i="8"/>
  <c r="K10" i="7"/>
  <c r="J9" i="7"/>
  <c r="L10" i="12"/>
  <c r="K9" i="12"/>
  <c r="L10" i="9"/>
  <c r="K9" i="9"/>
  <c r="L10" i="6"/>
  <c r="K9" i="6"/>
  <c r="K10" i="5"/>
  <c r="J9" i="5"/>
  <c r="K10" i="4"/>
  <c r="J9" i="4"/>
  <c r="J10" i="3"/>
  <c r="I9" i="3"/>
  <c r="I9" i="2"/>
  <c r="J10" i="1"/>
  <c r="I9" i="1"/>
  <c r="L10" i="11" l="1"/>
  <c r="K9" i="11"/>
  <c r="L10" i="10"/>
  <c r="K9" i="10"/>
  <c r="L10" i="8"/>
  <c r="K9" i="8"/>
  <c r="L10" i="7"/>
  <c r="K9" i="7"/>
  <c r="L9" i="12"/>
  <c r="M10" i="12"/>
  <c r="L9" i="9"/>
  <c r="M10" i="9"/>
  <c r="L9" i="6"/>
  <c r="M10" i="6"/>
  <c r="L10" i="5"/>
  <c r="K9" i="5"/>
  <c r="L10" i="4"/>
  <c r="K9" i="4"/>
  <c r="K10" i="3"/>
  <c r="J9" i="3"/>
  <c r="J9" i="2"/>
  <c r="K10" i="1"/>
  <c r="J9" i="1"/>
  <c r="M10" i="11" l="1"/>
  <c r="L9" i="11"/>
  <c r="M10" i="10"/>
  <c r="L9" i="10"/>
  <c r="M10" i="8"/>
  <c r="L9" i="8"/>
  <c r="M10" i="7"/>
  <c r="L9" i="7"/>
  <c r="N10" i="12"/>
  <c r="M9" i="12"/>
  <c r="N10" i="9"/>
  <c r="M9" i="9"/>
  <c r="N10" i="6"/>
  <c r="M9" i="6"/>
  <c r="M10" i="5"/>
  <c r="L9" i="5"/>
  <c r="M10" i="4"/>
  <c r="L9" i="4"/>
  <c r="L10" i="3"/>
  <c r="K9" i="3"/>
  <c r="K9" i="2"/>
  <c r="L10" i="1"/>
  <c r="K9" i="1"/>
  <c r="N10" i="11" l="1"/>
  <c r="M9" i="11"/>
  <c r="N10" i="10"/>
  <c r="M9" i="10"/>
  <c r="N10" i="8"/>
  <c r="M9" i="8"/>
  <c r="N10" i="7"/>
  <c r="M9" i="7"/>
  <c r="N9" i="12"/>
  <c r="O10" i="12"/>
  <c r="N9" i="9"/>
  <c r="O10" i="9"/>
  <c r="N9" i="6"/>
  <c r="O10" i="6"/>
  <c r="N10" i="5"/>
  <c r="M9" i="5"/>
  <c r="N10" i="4"/>
  <c r="M9" i="4"/>
  <c r="M10" i="3"/>
  <c r="L9" i="3"/>
  <c r="L9" i="2"/>
  <c r="M10" i="1"/>
  <c r="L9" i="1"/>
  <c r="O10" i="11" l="1"/>
  <c r="N9" i="11"/>
  <c r="O10" i="10"/>
  <c r="N9" i="10"/>
  <c r="O10" i="8"/>
  <c r="N9" i="8"/>
  <c r="O10" i="7"/>
  <c r="N9" i="7"/>
  <c r="P10" i="12"/>
  <c r="O9" i="12"/>
  <c r="P10" i="9"/>
  <c r="O9" i="9"/>
  <c r="P10" i="6"/>
  <c r="O9" i="6"/>
  <c r="O10" i="5"/>
  <c r="N9" i="5"/>
  <c r="O10" i="4"/>
  <c r="N9" i="4"/>
  <c r="N10" i="3"/>
  <c r="M9" i="3"/>
  <c r="M9" i="2"/>
  <c r="N10" i="1"/>
  <c r="M9" i="1"/>
  <c r="P10" i="11" l="1"/>
  <c r="O9" i="11"/>
  <c r="P10" i="10"/>
  <c r="O9" i="10"/>
  <c r="P10" i="8"/>
  <c r="O9" i="8"/>
  <c r="P10" i="7"/>
  <c r="O9" i="7"/>
  <c r="P9" i="12"/>
  <c r="Q10" i="12"/>
  <c r="P9" i="9"/>
  <c r="Q10" i="9"/>
  <c r="P9" i="6"/>
  <c r="Q10" i="6"/>
  <c r="P10" i="5"/>
  <c r="O9" i="5"/>
  <c r="P10" i="4"/>
  <c r="O9" i="4"/>
  <c r="O10" i="3"/>
  <c r="N9" i="3"/>
  <c r="N9" i="2"/>
  <c r="O10" i="1"/>
  <c r="N9" i="1"/>
  <c r="Q10" i="11" l="1"/>
  <c r="P9" i="11"/>
  <c r="Q10" i="10"/>
  <c r="P9" i="10"/>
  <c r="Q10" i="8"/>
  <c r="P9" i="8"/>
  <c r="Q10" i="7"/>
  <c r="P9" i="7"/>
  <c r="R10" i="12"/>
  <c r="Q9" i="12"/>
  <c r="R10" i="9"/>
  <c r="Q9" i="9"/>
  <c r="R10" i="6"/>
  <c r="Q9" i="6"/>
  <c r="Q10" i="5"/>
  <c r="P9" i="5"/>
  <c r="Q10" i="4"/>
  <c r="P9" i="4"/>
  <c r="P10" i="3"/>
  <c r="O9" i="3"/>
  <c r="O9" i="2"/>
  <c r="P10" i="1"/>
  <c r="O9" i="1"/>
  <c r="R10" i="11" l="1"/>
  <c r="Q9" i="11"/>
  <c r="R10" i="10"/>
  <c r="Q9" i="10"/>
  <c r="R10" i="8"/>
  <c r="Q9" i="8"/>
  <c r="R10" i="7"/>
  <c r="Q9" i="7"/>
  <c r="R9" i="12"/>
  <c r="S10" i="12"/>
  <c r="R9" i="9"/>
  <c r="S10" i="9"/>
  <c r="R9" i="6"/>
  <c r="S10" i="6"/>
  <c r="R10" i="5"/>
  <c r="Q9" i="5"/>
  <c r="R10" i="4"/>
  <c r="Q9" i="4"/>
  <c r="Q10" i="3"/>
  <c r="P9" i="3"/>
  <c r="P9" i="2"/>
  <c r="Q10" i="1"/>
  <c r="P9" i="1"/>
  <c r="S10" i="11" l="1"/>
  <c r="R9" i="11"/>
  <c r="S10" i="10"/>
  <c r="R9" i="10"/>
  <c r="S10" i="8"/>
  <c r="R9" i="8"/>
  <c r="S10" i="7"/>
  <c r="R9" i="7"/>
  <c r="T10" i="12"/>
  <c r="S9" i="12"/>
  <c r="T10" i="9"/>
  <c r="S9" i="9"/>
  <c r="T10" i="6"/>
  <c r="S9" i="6"/>
  <c r="S10" i="5"/>
  <c r="R9" i="5"/>
  <c r="S10" i="4"/>
  <c r="R9" i="4"/>
  <c r="R10" i="3"/>
  <c r="Q9" i="3"/>
  <c r="Q9" i="2"/>
  <c r="R10" i="1"/>
  <c r="Q9" i="1"/>
  <c r="T10" i="11" l="1"/>
  <c r="S9" i="11"/>
  <c r="T10" i="10"/>
  <c r="S9" i="10"/>
  <c r="T10" i="8"/>
  <c r="S9" i="8"/>
  <c r="T10" i="7"/>
  <c r="S9" i="7"/>
  <c r="T9" i="12"/>
  <c r="U10" i="12"/>
  <c r="T9" i="9"/>
  <c r="U10" i="9"/>
  <c r="T9" i="6"/>
  <c r="U10" i="6"/>
  <c r="T10" i="5"/>
  <c r="S9" i="5"/>
  <c r="T10" i="4"/>
  <c r="S9" i="4"/>
  <c r="S10" i="3"/>
  <c r="R9" i="3"/>
  <c r="R9" i="2"/>
  <c r="S10" i="1"/>
  <c r="R9" i="1"/>
  <c r="U10" i="11" l="1"/>
  <c r="T9" i="11"/>
  <c r="U10" i="10"/>
  <c r="T9" i="10"/>
  <c r="U10" i="8"/>
  <c r="T9" i="8"/>
  <c r="U10" i="7"/>
  <c r="T9" i="7"/>
  <c r="V10" i="12"/>
  <c r="U9" i="12"/>
  <c r="V10" i="9"/>
  <c r="U9" i="9"/>
  <c r="V10" i="6"/>
  <c r="U9" i="6"/>
  <c r="U10" i="5"/>
  <c r="T9" i="5"/>
  <c r="U10" i="4"/>
  <c r="T9" i="4"/>
  <c r="T10" i="3"/>
  <c r="S9" i="3"/>
  <c r="S9" i="2"/>
  <c r="T10" i="1"/>
  <c r="S9" i="1"/>
  <c r="V10" i="11" l="1"/>
  <c r="U9" i="11"/>
  <c r="V10" i="10"/>
  <c r="U9" i="10"/>
  <c r="V10" i="8"/>
  <c r="U9" i="8"/>
  <c r="V10" i="7"/>
  <c r="U9" i="7"/>
  <c r="V9" i="12"/>
  <c r="W10" i="12"/>
  <c r="V9" i="9"/>
  <c r="W10" i="9"/>
  <c r="V9" i="6"/>
  <c r="W10" i="6"/>
  <c r="V10" i="5"/>
  <c r="U9" i="5"/>
  <c r="V10" i="4"/>
  <c r="U9" i="4"/>
  <c r="U10" i="3"/>
  <c r="T9" i="3"/>
  <c r="T9" i="2"/>
  <c r="U10" i="1"/>
  <c r="T9" i="1"/>
  <c r="W10" i="11" l="1"/>
  <c r="V9" i="11"/>
  <c r="W10" i="10"/>
  <c r="V9" i="10"/>
  <c r="W10" i="8"/>
  <c r="V9" i="8"/>
  <c r="W10" i="7"/>
  <c r="V9" i="7"/>
  <c r="X10" i="12"/>
  <c r="W9" i="12"/>
  <c r="X10" i="9"/>
  <c r="W9" i="9"/>
  <c r="X10" i="6"/>
  <c r="W9" i="6"/>
  <c r="W10" i="5"/>
  <c r="V9" i="5"/>
  <c r="W10" i="4"/>
  <c r="V9" i="4"/>
  <c r="V10" i="3"/>
  <c r="U9" i="3"/>
  <c r="U9" i="2"/>
  <c r="V10" i="1"/>
  <c r="U9" i="1"/>
  <c r="X10" i="11" l="1"/>
  <c r="W9" i="11"/>
  <c r="X10" i="10"/>
  <c r="W9" i="10"/>
  <c r="X10" i="8"/>
  <c r="W9" i="8"/>
  <c r="X10" i="7"/>
  <c r="W9" i="7"/>
  <c r="X9" i="12"/>
  <c r="Y10" i="12"/>
  <c r="X9" i="9"/>
  <c r="Y10" i="9"/>
  <c r="X9" i="6"/>
  <c r="Y10" i="6"/>
  <c r="X10" i="5"/>
  <c r="W9" i="5"/>
  <c r="X10" i="4"/>
  <c r="W9" i="4"/>
  <c r="W10" i="3"/>
  <c r="V9" i="3"/>
  <c r="V9" i="2"/>
  <c r="W10" i="1"/>
  <c r="V9" i="1"/>
  <c r="Y10" i="11" l="1"/>
  <c r="X9" i="11"/>
  <c r="Y10" i="10"/>
  <c r="X9" i="10"/>
  <c r="Y10" i="8"/>
  <c r="X9" i="8"/>
  <c r="Y10" i="7"/>
  <c r="X9" i="7"/>
  <c r="Z10" i="12"/>
  <c r="Y9" i="12"/>
  <c r="Z10" i="9"/>
  <c r="Y9" i="9"/>
  <c r="Z10" i="6"/>
  <c r="Y9" i="6"/>
  <c r="Y10" i="5"/>
  <c r="X9" i="5"/>
  <c r="Y10" i="4"/>
  <c r="X9" i="4"/>
  <c r="X10" i="3"/>
  <c r="W9" i="3"/>
  <c r="W9" i="2"/>
  <c r="X10" i="1"/>
  <c r="W9" i="1"/>
  <c r="Z10" i="11" l="1"/>
  <c r="Y9" i="11"/>
  <c r="Z10" i="10"/>
  <c r="Y9" i="10"/>
  <c r="Z10" i="8"/>
  <c r="Y9" i="8"/>
  <c r="Z10" i="7"/>
  <c r="Y9" i="7"/>
  <c r="Z9" i="12"/>
  <c r="AA10" i="12"/>
  <c r="Z9" i="9"/>
  <c r="AA10" i="9"/>
  <c r="Z9" i="6"/>
  <c r="AA10" i="6"/>
  <c r="Z10" i="5"/>
  <c r="Y9" i="5"/>
  <c r="Z10" i="4"/>
  <c r="Y9" i="4"/>
  <c r="Y10" i="3"/>
  <c r="X9" i="3"/>
  <c r="X9" i="2"/>
  <c r="Y10" i="1"/>
  <c r="X9" i="1"/>
  <c r="AA10" i="11" l="1"/>
  <c r="Z9" i="11"/>
  <c r="AA10" i="10"/>
  <c r="Z9" i="10"/>
  <c r="AA10" i="8"/>
  <c r="Z9" i="8"/>
  <c r="AA10" i="7"/>
  <c r="Z9" i="7"/>
  <c r="AB10" i="12"/>
  <c r="AA9" i="12"/>
  <c r="AB10" i="9"/>
  <c r="AA9" i="9"/>
  <c r="AB10" i="6"/>
  <c r="AA9" i="6"/>
  <c r="AA10" i="5"/>
  <c r="Z9" i="5"/>
  <c r="AA10" i="4"/>
  <c r="Z9" i="4"/>
  <c r="Z10" i="3"/>
  <c r="Y9" i="3"/>
  <c r="Y9" i="2"/>
  <c r="Z10" i="1"/>
  <c r="Y9" i="1"/>
  <c r="AB10" i="11" l="1"/>
  <c r="AA9" i="11"/>
  <c r="AB10" i="10"/>
  <c r="AA9" i="10"/>
  <c r="AB10" i="8"/>
  <c r="AA9" i="8"/>
  <c r="AB10" i="7"/>
  <c r="AA9" i="7"/>
  <c r="AB9" i="12"/>
  <c r="AC10" i="12"/>
  <c r="AB9" i="9"/>
  <c r="AC10" i="9"/>
  <c r="AB9" i="6"/>
  <c r="AC10" i="6"/>
  <c r="AB10" i="5"/>
  <c r="AA9" i="5"/>
  <c r="AB10" i="4"/>
  <c r="AA9" i="4"/>
  <c r="AA10" i="3"/>
  <c r="Z9" i="3"/>
  <c r="Z9" i="2"/>
  <c r="AA10" i="1"/>
  <c r="Z9" i="1"/>
  <c r="AC10" i="11" l="1"/>
  <c r="AB9" i="11"/>
  <c r="AC10" i="10"/>
  <c r="AB9" i="10"/>
  <c r="AC10" i="8"/>
  <c r="AB9" i="8"/>
  <c r="AC10" i="7"/>
  <c r="AB9" i="7"/>
  <c r="AD10" i="12"/>
  <c r="AC9" i="12"/>
  <c r="AD10" i="9"/>
  <c r="AC9" i="9"/>
  <c r="AD10" i="6"/>
  <c r="AC9" i="6"/>
  <c r="AC10" i="5"/>
  <c r="AB9" i="5"/>
  <c r="AC10" i="4"/>
  <c r="AB9" i="4"/>
  <c r="AB10" i="3"/>
  <c r="AA9" i="3"/>
  <c r="AA9" i="2"/>
  <c r="AB10" i="1"/>
  <c r="AA9" i="1"/>
  <c r="AD10" i="11" l="1"/>
  <c r="AC9" i="11"/>
  <c r="AD10" i="10"/>
  <c r="AC9" i="10"/>
  <c r="AD10" i="8"/>
  <c r="AC9" i="8"/>
  <c r="AD10" i="7"/>
  <c r="AC9" i="7"/>
  <c r="AD9" i="12"/>
  <c r="AE10" i="12"/>
  <c r="AD9" i="9"/>
  <c r="AE10" i="9"/>
  <c r="AD9" i="6"/>
  <c r="AE10" i="6"/>
  <c r="AD10" i="5"/>
  <c r="AC9" i="5"/>
  <c r="AD10" i="4"/>
  <c r="AC9" i="4"/>
  <c r="AC10" i="3"/>
  <c r="AB9" i="3"/>
  <c r="AB9" i="2"/>
  <c r="AC10" i="1"/>
  <c r="AB9" i="1"/>
  <c r="AE10" i="11" l="1"/>
  <c r="AD9" i="11"/>
  <c r="AE10" i="10"/>
  <c r="AD9" i="10"/>
  <c r="AE10" i="8"/>
  <c r="AD9" i="8"/>
  <c r="AE10" i="7"/>
  <c r="AD9" i="7"/>
  <c r="AF10" i="12"/>
  <c r="AE9" i="12"/>
  <c r="AF10" i="9"/>
  <c r="AE9" i="9"/>
  <c r="AF10" i="6"/>
  <c r="AE9" i="6"/>
  <c r="AE10" i="5"/>
  <c r="AD9" i="5"/>
  <c r="AE10" i="4"/>
  <c r="AD9" i="4"/>
  <c r="AD10" i="3"/>
  <c r="AC9" i="3"/>
  <c r="AC9" i="2"/>
  <c r="AD10" i="1"/>
  <c r="AC9" i="1"/>
  <c r="AF10" i="11" l="1"/>
  <c r="AE9" i="11"/>
  <c r="AF10" i="10"/>
  <c r="AE9" i="10"/>
  <c r="AF10" i="8"/>
  <c r="AE9" i="8"/>
  <c r="AF10" i="7"/>
  <c r="AE9" i="7"/>
  <c r="AF9" i="12"/>
  <c r="AG10" i="12"/>
  <c r="AF9" i="9"/>
  <c r="AG10" i="9"/>
  <c r="AF9" i="6"/>
  <c r="AG10" i="6"/>
  <c r="AF10" i="5"/>
  <c r="AE9" i="5"/>
  <c r="AF10" i="4"/>
  <c r="AE9" i="4"/>
  <c r="AE10" i="3"/>
  <c r="AD9" i="3"/>
  <c r="AD9" i="2"/>
  <c r="AE10" i="1"/>
  <c r="AD9" i="1"/>
  <c r="AG10" i="11" l="1"/>
  <c r="AF9" i="11"/>
  <c r="AG10" i="10"/>
  <c r="AF9" i="10"/>
  <c r="AG10" i="8"/>
  <c r="AF9" i="8"/>
  <c r="AG10" i="7"/>
  <c r="AF9" i="7"/>
  <c r="AH10" i="12"/>
  <c r="AG9" i="12"/>
  <c r="AH10" i="9"/>
  <c r="AG9" i="9"/>
  <c r="AH10" i="6"/>
  <c r="AG9" i="6"/>
  <c r="AG10" i="5"/>
  <c r="AF9" i="5"/>
  <c r="AG10" i="4"/>
  <c r="AF9" i="4"/>
  <c r="AF10" i="3"/>
  <c r="AE9" i="3"/>
  <c r="AE9" i="2"/>
  <c r="AF10" i="1"/>
  <c r="AE9" i="1"/>
  <c r="AH10" i="11" l="1"/>
  <c r="AG9" i="11"/>
  <c r="AH10" i="10"/>
  <c r="AG9" i="10"/>
  <c r="AH10" i="8"/>
  <c r="AG9" i="8"/>
  <c r="AH10" i="7"/>
  <c r="AG9" i="7"/>
  <c r="AH9" i="12"/>
  <c r="AI10" i="12"/>
  <c r="AI9" i="12" s="1"/>
  <c r="AH9" i="9"/>
  <c r="AI10" i="9"/>
  <c r="AI9" i="9" s="1"/>
  <c r="AH9" i="6"/>
  <c r="AI10" i="6"/>
  <c r="AI9" i="6" s="1"/>
  <c r="AH10" i="5"/>
  <c r="AG9" i="5"/>
  <c r="AH10" i="4"/>
  <c r="AG9" i="4"/>
  <c r="AG10" i="3"/>
  <c r="AF9" i="3"/>
  <c r="AF9" i="2"/>
  <c r="AG10" i="1"/>
  <c r="AF9" i="1"/>
  <c r="AI10" i="11" l="1"/>
  <c r="AH9" i="11"/>
  <c r="AI10" i="10"/>
  <c r="AH9" i="10"/>
  <c r="AI10" i="8"/>
  <c r="AH9" i="8"/>
  <c r="AI10" i="7"/>
  <c r="AH9" i="7"/>
  <c r="AI10" i="5"/>
  <c r="AH9" i="5"/>
  <c r="AI10" i="4"/>
  <c r="AH9" i="4"/>
  <c r="AH10" i="3"/>
  <c r="AG9" i="3"/>
  <c r="AG9" i="2"/>
  <c r="AH10" i="1"/>
  <c r="AG9" i="1"/>
  <c r="AJ10" i="11" l="1"/>
  <c r="AJ9" i="11" s="1"/>
  <c r="AI9" i="11"/>
  <c r="AJ10" i="10"/>
  <c r="AJ9" i="10" s="1"/>
  <c r="AI9" i="10"/>
  <c r="AJ10" i="8"/>
  <c r="AJ9" i="8" s="1"/>
  <c r="AI9" i="8"/>
  <c r="AJ10" i="7"/>
  <c r="AJ9" i="7" s="1"/>
  <c r="AI9" i="7"/>
  <c r="AJ10" i="5"/>
  <c r="AJ9" i="5" s="1"/>
  <c r="AI9" i="5"/>
  <c r="AI9" i="4"/>
  <c r="AI10" i="3"/>
  <c r="AH9" i="3"/>
  <c r="AI10" i="1"/>
  <c r="AH9" i="1"/>
  <c r="AI9" i="3" l="1"/>
  <c r="AJ10" i="3"/>
  <c r="AJ9" i="3" s="1"/>
  <c r="AJ10" i="1"/>
  <c r="AJ9" i="1" s="1"/>
  <c r="AI9" i="1"/>
</calcChain>
</file>

<file path=xl/sharedStrings.xml><?xml version="1.0" encoding="utf-8"?>
<sst xmlns="http://schemas.openxmlformats.org/spreadsheetml/2006/main" count="1302" uniqueCount="55">
  <si>
    <t>Admission No</t>
  </si>
  <si>
    <t>Name</t>
  </si>
  <si>
    <t>Roll No</t>
  </si>
  <si>
    <t>Muhammad Waqas</t>
  </si>
  <si>
    <t>Muhmmad Babur</t>
  </si>
  <si>
    <t>Muhammad Mubashir</t>
  </si>
  <si>
    <t>Muhammad Ahsan</t>
  </si>
  <si>
    <t>Muhammad Hasnain</t>
  </si>
  <si>
    <t>Muhamamd Aslam</t>
  </si>
  <si>
    <t>Muhammad Usman</t>
  </si>
  <si>
    <t>Muhammad Usama</t>
  </si>
  <si>
    <t>Muhammad Bilal</t>
  </si>
  <si>
    <t>Muhammad Umar</t>
  </si>
  <si>
    <t>Muhammad Farooq</t>
  </si>
  <si>
    <t>Muhammad Tahir</t>
  </si>
  <si>
    <t>Muhammad Zafar</t>
  </si>
  <si>
    <t>Muhammad Shahid</t>
  </si>
  <si>
    <t>Muhammad Sajid</t>
  </si>
  <si>
    <t>Muhammad Zahid</t>
  </si>
  <si>
    <t>Muhammad Shafeeq</t>
  </si>
  <si>
    <t>Muhammad Arslan</t>
  </si>
  <si>
    <t>Muhammad Faheem</t>
  </si>
  <si>
    <t>Muhammad Umair</t>
  </si>
  <si>
    <t>Muhmmad Hassan</t>
  </si>
  <si>
    <t>Ahmad Hassan</t>
  </si>
  <si>
    <t>Muhammad Hussain</t>
  </si>
  <si>
    <t>Muhammad Kashif</t>
  </si>
  <si>
    <t>Muhmmad Huzaifa</t>
  </si>
  <si>
    <t>Muhammad Zubair</t>
  </si>
  <si>
    <t>Muhammad Ali</t>
  </si>
  <si>
    <t>Muhammad Shadab</t>
  </si>
  <si>
    <t>Muhammad Atif</t>
  </si>
  <si>
    <t>Muhammad Noman</t>
  </si>
  <si>
    <t>Present</t>
  </si>
  <si>
    <t>Absant</t>
  </si>
  <si>
    <t>Leave</t>
  </si>
  <si>
    <t>12th Class Attendance Sheet</t>
  </si>
  <si>
    <t>P</t>
  </si>
  <si>
    <t>L</t>
  </si>
  <si>
    <t>A</t>
  </si>
  <si>
    <t>Total Attendances</t>
  </si>
  <si>
    <t>Percentage</t>
  </si>
  <si>
    <t>Total Percentage</t>
  </si>
  <si>
    <t>February, 2025</t>
  </si>
  <si>
    <t>March, 2025</t>
  </si>
  <si>
    <t>April, 2025</t>
  </si>
  <si>
    <t>May, 2025</t>
  </si>
  <si>
    <t>June, 2025</t>
  </si>
  <si>
    <t>September, 2025</t>
  </si>
  <si>
    <t>November, 2025</t>
  </si>
  <si>
    <t>July, 2025</t>
  </si>
  <si>
    <t>August, 2025</t>
  </si>
  <si>
    <t>October, 2025</t>
  </si>
  <si>
    <t>December, 2025</t>
  </si>
  <si>
    <t>Janaury,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</si>
</sst>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5"/>
      <name val="Product Sans"/>
      <family val="2"/>
    </font>
    <font>
      <b/>
      <sz val="22"/>
      <color rgb="FF0070C0"/>
      <name val="Product Sans"/>
      <family val="2"/>
    </font>
    <font>
      <b/>
      <sz val="12"/>
      <color rgb="FF002060"/>
      <name val="Product Sans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Product Sans"/>
      <family val="2"/>
    </font>
    <font>
      <b/>
      <sz val="14"/>
      <color theme="1"/>
      <name val="Arial"/>
      <family val="2"/>
    </font>
    <font>
      <b/>
      <sz val="12"/>
      <color rgb="FF00206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3" borderId="0" xfId="0" applyNumberFormat="1" applyFont="1" applyFill="1"/>
    <xf numFmtId="0" fontId="1" fillId="2" borderId="0" xfId="0" applyFont="1" applyFill="1"/>
    <xf numFmtId="0" fontId="0" fillId="0" borderId="0" xfId="0" applyFont="1"/>
    <xf numFmtId="0" fontId="2" fillId="0" borderId="0" xfId="0" applyFont="1"/>
    <xf numFmtId="14" fontId="0" fillId="0" borderId="0" xfId="0" applyNumberFormat="1" applyFont="1"/>
    <xf numFmtId="0" fontId="1" fillId="6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4" borderId="0" xfId="0" applyFont="1" applyFill="1"/>
    <xf numFmtId="0" fontId="1" fillId="7" borderId="0" xfId="0" applyFont="1" applyFill="1"/>
    <xf numFmtId="2" fontId="1" fillId="0" borderId="0" xfId="0" applyNumberFormat="1" applyFont="1"/>
    <xf numFmtId="0" fontId="9" fillId="5" borderId="0" xfId="0" applyFont="1" applyFill="1"/>
    <xf numFmtId="0" fontId="10" fillId="0" borderId="0" xfId="0" applyFont="1"/>
    <xf numFmtId="0" fontId="8" fillId="5" borderId="0" xfId="0" applyFont="1" applyFill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6"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font>
        <color rgb="FF00B050"/>
      </font>
    </dxf>
    <dxf>
      <font>
        <color rgb="FFFF0000"/>
      </font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font>
        <color rgb="FF00B050"/>
      </font>
    </dxf>
    <dxf>
      <font>
        <color rgb="FFFF0000"/>
      </font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font>
        <color rgb="FF00B050"/>
      </font>
    </dxf>
    <dxf>
      <font>
        <color rgb="FFFF0000"/>
      </font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vertical/>
        <horizontal/>
      </border>
    </dxf>
    <dxf>
      <font>
        <color rgb="FF00B050"/>
      </font>
    </dxf>
    <dxf>
      <font>
        <color rgb="FFFF0000"/>
      </font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FF00"/>
      </font>
      <border>
        <top style="thin">
          <color theme="5"/>
        </top>
        <vertical/>
        <horizontal/>
      </border>
    </dxf>
    <dxf>
      <border>
        <left/>
        <right/>
        <top/>
        <bottom/>
        <vertical/>
        <horizontal/>
      </border>
    </dxf>
    <dxf>
      <font>
        <color theme="5"/>
      </font>
    </dxf>
    <dxf>
      <fill>
        <patternFill>
          <bgColor rgb="FFFF5353"/>
        </patternFill>
      </fill>
    </dxf>
    <dxf>
      <border>
        <left style="dashDotDot">
          <color rgb="FFFF0000"/>
        </left>
        <right style="dashDotDot">
          <color rgb="FFFF0000"/>
        </right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AL63"/>
  <sheetViews>
    <sheetView topLeftCell="AC1" zoomScaleNormal="100" workbookViewId="0">
      <selection activeCell="AE3" sqref="AE3"/>
    </sheetView>
  </sheetViews>
  <sheetFormatPr defaultRowHeight="15" x14ac:dyDescent="0.25"/>
  <cols>
    <col min="1" max="1" width="9" style="5" customWidth="1"/>
    <col min="2" max="2" width="5.28515625" style="5" customWidth="1"/>
    <col min="3" max="3" width="16" style="5" bestFit="1" customWidth="1"/>
    <col min="4" max="4" width="8.7109375" style="5" bestFit="1" customWidth="1"/>
    <col min="5" max="5" width="23.140625" style="5" bestFit="1" customWidth="1"/>
    <col min="6" max="6" width="11.5703125" style="5" customWidth="1"/>
    <col min="7" max="7" width="12" style="5" customWidth="1"/>
    <col min="8" max="8" width="12" style="5" bestFit="1" customWidth="1"/>
    <col min="9" max="9" width="12" style="5" customWidth="1"/>
    <col min="10" max="10" width="12" style="5" bestFit="1" customWidth="1"/>
    <col min="11" max="11" width="12" style="5" customWidth="1"/>
    <col min="12" max="14" width="12" style="5" bestFit="1" customWidth="1"/>
    <col min="15" max="15" width="11.5703125" style="5" bestFit="1" customWidth="1"/>
    <col min="16" max="16" width="11.28515625" style="5" bestFit="1" customWidth="1"/>
    <col min="17" max="24" width="11.5703125" style="5" bestFit="1" customWidth="1"/>
    <col min="25" max="25" width="12" style="5" bestFit="1" customWidth="1"/>
    <col min="26" max="26" width="11.5703125" style="5" bestFit="1" customWidth="1"/>
    <col min="27" max="35" width="12" style="5" bestFit="1" customWidth="1"/>
    <col min="36" max="36" width="12.28515625" style="5" bestFit="1" customWidth="1"/>
    <col min="37" max="37" width="25.28515625" style="5" bestFit="1" customWidth="1"/>
    <col min="38" max="38" width="24.28515625" style="5" bestFit="1" customWidth="1"/>
    <col min="39" max="16384" width="9.140625" style="5"/>
  </cols>
  <sheetData>
    <row r="1" spans="2:38" ht="15" customHeight="1" x14ac:dyDescent="0.25">
      <c r="G1" s="18" t="s">
        <v>36</v>
      </c>
      <c r="H1" s="18"/>
      <c r="I1" s="18"/>
      <c r="J1" s="18"/>
      <c r="K1" s="18"/>
      <c r="L1" s="18"/>
    </row>
    <row r="2" spans="2:38" ht="15" customHeight="1" x14ac:dyDescent="0.25">
      <c r="G2" s="18"/>
      <c r="H2" s="18"/>
      <c r="I2" s="18"/>
      <c r="J2" s="18"/>
      <c r="K2" s="18"/>
      <c r="L2" s="18"/>
    </row>
    <row r="3" spans="2:38" ht="15" customHeight="1" x14ac:dyDescent="0.25">
      <c r="G3" s="18"/>
      <c r="H3" s="18"/>
      <c r="I3" s="18"/>
      <c r="J3" s="18"/>
      <c r="K3" s="18"/>
      <c r="L3" s="18"/>
    </row>
    <row r="4" spans="2:38" x14ac:dyDescent="0.25">
      <c r="B4" s="8"/>
      <c r="C4" s="1" t="s">
        <v>33</v>
      </c>
    </row>
    <row r="5" spans="2:38" x14ac:dyDescent="0.25">
      <c r="B5" s="12"/>
      <c r="C5" s="1" t="s">
        <v>34</v>
      </c>
      <c r="G5" s="19" t="s">
        <v>54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8" ht="16.5" customHeight="1" x14ac:dyDescent="0.25">
      <c r="B6" s="13"/>
      <c r="C6" s="1" t="s">
        <v>35</v>
      </c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8" ht="16.5" customHeight="1" x14ac:dyDescent="0.25"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E7" s="2"/>
      <c r="AF7" s="2"/>
      <c r="AG7" s="2"/>
      <c r="AH7" s="7"/>
    </row>
    <row r="9" spans="2:38" x14ac:dyDescent="0.25">
      <c r="F9" s="4" t="str">
        <f>TEXT(F10, "ddd")</f>
        <v>Wed</v>
      </c>
      <c r="G9" s="4" t="str">
        <f t="shared" ref="G9:J9" si="0">TEXT(G10, "ddd")</f>
        <v>Thu</v>
      </c>
      <c r="H9" s="4" t="str">
        <f t="shared" si="0"/>
        <v>Fri</v>
      </c>
      <c r="I9" s="4" t="str">
        <f t="shared" si="0"/>
        <v>Sat</v>
      </c>
      <c r="J9" s="4" t="str">
        <f t="shared" si="0"/>
        <v>Sun</v>
      </c>
      <c r="K9" s="4" t="str">
        <f t="shared" ref="K9" si="1">TEXT(K10, "ddd")</f>
        <v>Mon</v>
      </c>
      <c r="L9" s="4" t="str">
        <f t="shared" ref="L9" si="2">TEXT(L10, "ddd")</f>
        <v>Tue</v>
      </c>
      <c r="M9" s="4" t="str">
        <f t="shared" ref="M9:N9" si="3">TEXT(M10, "ddd")</f>
        <v>Wed</v>
      </c>
      <c r="N9" s="4" t="str">
        <f t="shared" si="3"/>
        <v>Thu</v>
      </c>
      <c r="O9" s="4" t="str">
        <f t="shared" ref="O9" si="4">TEXT(O10, "ddd")</f>
        <v>Fri</v>
      </c>
      <c r="P9" s="4" t="str">
        <f t="shared" ref="P9" si="5">TEXT(P10, "ddd")</f>
        <v>Sat</v>
      </c>
      <c r="Q9" s="4" t="str">
        <f t="shared" ref="Q9:R9" si="6">TEXT(Q10, "ddd")</f>
        <v>Sun</v>
      </c>
      <c r="R9" s="4" t="str">
        <f t="shared" si="6"/>
        <v>Mon</v>
      </c>
      <c r="S9" s="4" t="str">
        <f t="shared" ref="S9" si="7">TEXT(S10, "ddd")</f>
        <v>Tue</v>
      </c>
      <c r="T9" s="4" t="str">
        <f t="shared" ref="T9" si="8">TEXT(T10, "ddd")</f>
        <v>Wed</v>
      </c>
      <c r="U9" s="4" t="str">
        <f t="shared" ref="U9:V9" si="9">TEXT(U10, "ddd")</f>
        <v>Thu</v>
      </c>
      <c r="V9" s="4" t="str">
        <f t="shared" si="9"/>
        <v>Fri</v>
      </c>
      <c r="W9" s="4" t="str">
        <f t="shared" ref="W9" si="10">TEXT(W10, "ddd")</f>
        <v>Sat</v>
      </c>
      <c r="X9" s="4" t="str">
        <f t="shared" ref="X9" si="11">TEXT(X10, "ddd")</f>
        <v>Sun</v>
      </c>
      <c r="Y9" s="4" t="str">
        <f t="shared" ref="Y9:Z9" si="12">TEXT(Y10, "ddd")</f>
        <v>Mon</v>
      </c>
      <c r="Z9" s="4" t="str">
        <f t="shared" si="12"/>
        <v>Tue</v>
      </c>
      <c r="AA9" s="4" t="str">
        <f t="shared" ref="AA9" si="13">TEXT(AA10, "ddd")</f>
        <v>Wed</v>
      </c>
      <c r="AB9" s="4" t="str">
        <f t="shared" ref="AB9" si="14">TEXT(AB10, "ddd")</f>
        <v>Thu</v>
      </c>
      <c r="AC9" s="4" t="str">
        <f t="shared" ref="AC9:AD9" si="15">TEXT(AC10, "ddd")</f>
        <v>Fri</v>
      </c>
      <c r="AD9" s="4" t="str">
        <f t="shared" si="15"/>
        <v>Sat</v>
      </c>
      <c r="AE9" s="4" t="str">
        <f t="shared" ref="AE9" si="16">TEXT(AE10, "ddd")</f>
        <v>Sun</v>
      </c>
      <c r="AF9" s="4" t="str">
        <f t="shared" ref="AF9" si="17">TEXT(AF10, "ddd")</f>
        <v>Mon</v>
      </c>
      <c r="AG9" s="4" t="str">
        <f t="shared" ref="AG9:AH9" si="18">TEXT(AG10, "ddd")</f>
        <v>Tue</v>
      </c>
      <c r="AH9" s="4" t="str">
        <f t="shared" si="18"/>
        <v>Wed</v>
      </c>
      <c r="AI9" s="4" t="str">
        <f t="shared" ref="AI9" si="19">TEXT(AI10, "ddd")</f>
        <v>Thu</v>
      </c>
      <c r="AJ9" s="4" t="str">
        <f t="shared" ref="AJ9" si="20">TEXT(AJ10, "ddd")</f>
        <v>Fri</v>
      </c>
      <c r="AK9" s="20" t="s">
        <v>40</v>
      </c>
      <c r="AL9" s="20" t="s">
        <v>41</v>
      </c>
    </row>
    <row r="10" spans="2:38" ht="16.5" x14ac:dyDescent="0.3">
      <c r="C10" s="9" t="s">
        <v>0</v>
      </c>
      <c r="D10" s="9" t="s">
        <v>2</v>
      </c>
      <c r="E10" s="9" t="s">
        <v>1</v>
      </c>
      <c r="F10" s="3">
        <f>DATE(2025, 1, 1)</f>
        <v>45658</v>
      </c>
      <c r="G10" s="3">
        <f t="shared" ref="G10:AJ10" si="21">IF(F10&lt;$E$63, F10+1, "")</f>
        <v>45659</v>
      </c>
      <c r="H10" s="3">
        <f t="shared" si="21"/>
        <v>45660</v>
      </c>
      <c r="I10" s="3">
        <f t="shared" si="21"/>
        <v>45661</v>
      </c>
      <c r="J10" s="3">
        <f t="shared" si="21"/>
        <v>45662</v>
      </c>
      <c r="K10" s="3">
        <f t="shared" si="21"/>
        <v>45663</v>
      </c>
      <c r="L10" s="3">
        <f t="shared" si="21"/>
        <v>45664</v>
      </c>
      <c r="M10" s="3">
        <f t="shared" si="21"/>
        <v>45665</v>
      </c>
      <c r="N10" s="3">
        <f t="shared" si="21"/>
        <v>45666</v>
      </c>
      <c r="O10" s="3">
        <f t="shared" si="21"/>
        <v>45667</v>
      </c>
      <c r="P10" s="3">
        <f t="shared" si="21"/>
        <v>45668</v>
      </c>
      <c r="Q10" s="3">
        <f t="shared" si="21"/>
        <v>45669</v>
      </c>
      <c r="R10" s="3">
        <f t="shared" si="21"/>
        <v>45670</v>
      </c>
      <c r="S10" s="3">
        <f t="shared" si="21"/>
        <v>45671</v>
      </c>
      <c r="T10" s="3">
        <f t="shared" si="21"/>
        <v>45672</v>
      </c>
      <c r="U10" s="3">
        <f t="shared" si="21"/>
        <v>45673</v>
      </c>
      <c r="V10" s="3">
        <f t="shared" si="21"/>
        <v>45674</v>
      </c>
      <c r="W10" s="3">
        <f t="shared" si="21"/>
        <v>45675</v>
      </c>
      <c r="X10" s="3">
        <f t="shared" si="21"/>
        <v>45676</v>
      </c>
      <c r="Y10" s="3">
        <f t="shared" si="21"/>
        <v>45677</v>
      </c>
      <c r="Z10" s="3">
        <f t="shared" si="21"/>
        <v>45678</v>
      </c>
      <c r="AA10" s="3">
        <f t="shared" si="21"/>
        <v>45679</v>
      </c>
      <c r="AB10" s="3">
        <f t="shared" si="21"/>
        <v>45680</v>
      </c>
      <c r="AC10" s="3">
        <f t="shared" si="21"/>
        <v>45681</v>
      </c>
      <c r="AD10" s="3">
        <f t="shared" si="21"/>
        <v>45682</v>
      </c>
      <c r="AE10" s="3">
        <f t="shared" si="21"/>
        <v>45683</v>
      </c>
      <c r="AF10" s="3">
        <f t="shared" si="21"/>
        <v>45684</v>
      </c>
      <c r="AG10" s="3">
        <f t="shared" si="21"/>
        <v>45685</v>
      </c>
      <c r="AH10" s="3">
        <f t="shared" si="21"/>
        <v>45686</v>
      </c>
      <c r="AI10" s="3">
        <f t="shared" si="21"/>
        <v>45687</v>
      </c>
      <c r="AJ10" s="3">
        <f t="shared" si="21"/>
        <v>45688</v>
      </c>
      <c r="AK10" s="20"/>
      <c r="AL10" s="20"/>
    </row>
    <row r="11" spans="2:38" ht="15.75" x14ac:dyDescent="0.25">
      <c r="C11" s="1">
        <v>756</v>
      </c>
      <c r="D11" s="1">
        <v>1</v>
      </c>
      <c r="E11" s="1" t="s">
        <v>3</v>
      </c>
      <c r="F11" s="10" t="s">
        <v>39</v>
      </c>
      <c r="G11" s="10" t="s">
        <v>37</v>
      </c>
      <c r="H11" s="10" t="s">
        <v>37</v>
      </c>
      <c r="I11" s="10" t="s">
        <v>37</v>
      </c>
      <c r="J11" s="10"/>
      <c r="K11" s="10" t="s">
        <v>37</v>
      </c>
      <c r="L11" s="10" t="s">
        <v>37</v>
      </c>
      <c r="M11" s="10" t="s">
        <v>37</v>
      </c>
      <c r="N11" s="10" t="s">
        <v>37</v>
      </c>
      <c r="O11" s="10" t="s">
        <v>37</v>
      </c>
      <c r="P11" s="10" t="s">
        <v>37</v>
      </c>
      <c r="Q11" s="10"/>
      <c r="R11" s="10" t="s">
        <v>37</v>
      </c>
      <c r="S11" s="10" t="s">
        <v>37</v>
      </c>
      <c r="T11" s="10" t="s">
        <v>37</v>
      </c>
      <c r="U11" s="10" t="s">
        <v>37</v>
      </c>
      <c r="V11" s="10" t="s">
        <v>37</v>
      </c>
      <c r="W11" s="10" t="s">
        <v>37</v>
      </c>
      <c r="X11" s="10"/>
      <c r="Y11" s="10" t="s">
        <v>37</v>
      </c>
      <c r="Z11" s="10" t="s">
        <v>37</v>
      </c>
      <c r="AA11" s="10" t="s">
        <v>37</v>
      </c>
      <c r="AB11" s="10" t="s">
        <v>37</v>
      </c>
      <c r="AC11" s="10" t="s">
        <v>37</v>
      </c>
      <c r="AD11" s="10" t="s">
        <v>37</v>
      </c>
      <c r="AE11" s="10"/>
      <c r="AF11" s="10" t="s">
        <v>39</v>
      </c>
      <c r="AG11" s="10" t="s">
        <v>39</v>
      </c>
      <c r="AH11" s="10" t="s">
        <v>39</v>
      </c>
      <c r="AI11" s="10" t="s">
        <v>39</v>
      </c>
      <c r="AJ11" s="10" t="s">
        <v>39</v>
      </c>
      <c r="AK11" s="1">
        <f>COUNTIF(F11:AJ11, "P")</f>
        <v>21</v>
      </c>
      <c r="AL11" s="14">
        <f>AK11*100/27</f>
        <v>77.777777777777771</v>
      </c>
    </row>
    <row r="12" spans="2:38" ht="15.75" x14ac:dyDescent="0.25">
      <c r="C12" s="1">
        <v>757</v>
      </c>
      <c r="D12" s="1">
        <v>2</v>
      </c>
      <c r="E12" s="1" t="s">
        <v>4</v>
      </c>
      <c r="F12" s="10" t="s">
        <v>37</v>
      </c>
      <c r="G12" s="10" t="s">
        <v>37</v>
      </c>
      <c r="H12" s="10" t="s">
        <v>37</v>
      </c>
      <c r="I12" s="10" t="s">
        <v>37</v>
      </c>
      <c r="J12" s="10"/>
      <c r="K12" s="10" t="s">
        <v>37</v>
      </c>
      <c r="L12" s="10" t="s">
        <v>37</v>
      </c>
      <c r="M12" s="10" t="s">
        <v>37</v>
      </c>
      <c r="N12" s="10" t="s">
        <v>37</v>
      </c>
      <c r="O12" s="10" t="s">
        <v>37</v>
      </c>
      <c r="P12" s="10" t="s">
        <v>37</v>
      </c>
      <c r="Q12" s="10"/>
      <c r="R12" s="10" t="s">
        <v>37</v>
      </c>
      <c r="S12" s="10" t="s">
        <v>37</v>
      </c>
      <c r="T12" s="10" t="s">
        <v>37</v>
      </c>
      <c r="U12" s="10" t="s">
        <v>37</v>
      </c>
      <c r="V12" s="10" t="s">
        <v>37</v>
      </c>
      <c r="W12" s="10" t="s">
        <v>37</v>
      </c>
      <c r="X12" s="10"/>
      <c r="Y12" s="10" t="s">
        <v>37</v>
      </c>
      <c r="Z12" s="10" t="s">
        <v>37</v>
      </c>
      <c r="AA12" s="10" t="s">
        <v>37</v>
      </c>
      <c r="AB12" s="10" t="s">
        <v>37</v>
      </c>
      <c r="AC12" s="10" t="s">
        <v>37</v>
      </c>
      <c r="AD12" s="10" t="s">
        <v>37</v>
      </c>
      <c r="AE12" s="11"/>
      <c r="AF12" s="10" t="s">
        <v>37</v>
      </c>
      <c r="AG12" s="10" t="s">
        <v>37</v>
      </c>
      <c r="AH12" s="10" t="s">
        <v>37</v>
      </c>
      <c r="AI12" s="10" t="s">
        <v>37</v>
      </c>
      <c r="AJ12" s="10" t="s">
        <v>37</v>
      </c>
      <c r="AK12" s="1">
        <f t="shared" ref="AK12:AK39" si="22">COUNTIF(F12:AJ12, "P")</f>
        <v>27</v>
      </c>
      <c r="AL12" s="14">
        <f t="shared" ref="AL12:AL40" si="23">AK12*100/27</f>
        <v>100</v>
      </c>
    </row>
    <row r="13" spans="2:38" ht="15.75" x14ac:dyDescent="0.25">
      <c r="C13" s="1">
        <v>758</v>
      </c>
      <c r="D13" s="1">
        <v>3</v>
      </c>
      <c r="E13" s="1" t="s">
        <v>5</v>
      </c>
      <c r="F13" s="10" t="s">
        <v>37</v>
      </c>
      <c r="G13" s="10" t="s">
        <v>37</v>
      </c>
      <c r="H13" s="10" t="s">
        <v>37</v>
      </c>
      <c r="I13" s="10" t="s">
        <v>37</v>
      </c>
      <c r="J13" s="10"/>
      <c r="K13" s="10" t="s">
        <v>37</v>
      </c>
      <c r="L13" s="10" t="s">
        <v>37</v>
      </c>
      <c r="M13" s="10" t="s">
        <v>37</v>
      </c>
      <c r="N13" s="10" t="s">
        <v>37</v>
      </c>
      <c r="O13" s="10" t="s">
        <v>37</v>
      </c>
      <c r="P13" s="10" t="s">
        <v>37</v>
      </c>
      <c r="Q13" s="10"/>
      <c r="R13" s="10" t="s">
        <v>37</v>
      </c>
      <c r="S13" s="10" t="s">
        <v>37</v>
      </c>
      <c r="T13" s="10" t="s">
        <v>37</v>
      </c>
      <c r="U13" s="10" t="s">
        <v>37</v>
      </c>
      <c r="V13" s="10" t="s">
        <v>37</v>
      </c>
      <c r="W13" s="10" t="s">
        <v>37</v>
      </c>
      <c r="X13" s="10"/>
      <c r="Y13" s="10" t="s">
        <v>37</v>
      </c>
      <c r="Z13" s="10" t="s">
        <v>37</v>
      </c>
      <c r="AA13" s="10" t="s">
        <v>37</v>
      </c>
      <c r="AB13" s="10" t="s">
        <v>37</v>
      </c>
      <c r="AC13" s="10" t="s">
        <v>37</v>
      </c>
      <c r="AD13" s="10" t="s">
        <v>37</v>
      </c>
      <c r="AE13" s="11"/>
      <c r="AF13" s="10" t="s">
        <v>37</v>
      </c>
      <c r="AG13" s="10" t="s">
        <v>37</v>
      </c>
      <c r="AH13" s="10" t="s">
        <v>37</v>
      </c>
      <c r="AI13" s="10" t="s">
        <v>37</v>
      </c>
      <c r="AJ13" s="10" t="s">
        <v>37</v>
      </c>
      <c r="AK13" s="1">
        <f t="shared" si="22"/>
        <v>27</v>
      </c>
      <c r="AL13" s="14">
        <f t="shared" si="23"/>
        <v>100</v>
      </c>
    </row>
    <row r="14" spans="2:38" ht="15.75" x14ac:dyDescent="0.25">
      <c r="C14" s="1">
        <v>759</v>
      </c>
      <c r="D14" s="1">
        <v>4</v>
      </c>
      <c r="E14" s="1" t="s">
        <v>6</v>
      </c>
      <c r="F14" s="10" t="s">
        <v>37</v>
      </c>
      <c r="G14" s="10" t="s">
        <v>37</v>
      </c>
      <c r="H14" s="10" t="s">
        <v>37</v>
      </c>
      <c r="I14" s="10" t="s">
        <v>37</v>
      </c>
      <c r="J14" s="10"/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0"/>
      <c r="R14" s="10" t="s">
        <v>37</v>
      </c>
      <c r="S14" s="10" t="s">
        <v>37</v>
      </c>
      <c r="T14" s="10" t="s">
        <v>37</v>
      </c>
      <c r="U14" s="10" t="s">
        <v>37</v>
      </c>
      <c r="V14" s="10" t="s">
        <v>37</v>
      </c>
      <c r="W14" s="10" t="s">
        <v>37</v>
      </c>
      <c r="X14" s="10"/>
      <c r="Y14" s="10" t="s">
        <v>37</v>
      </c>
      <c r="Z14" s="10" t="s">
        <v>37</v>
      </c>
      <c r="AA14" s="10" t="s">
        <v>37</v>
      </c>
      <c r="AB14" s="10" t="s">
        <v>37</v>
      </c>
      <c r="AC14" s="10" t="s">
        <v>37</v>
      </c>
      <c r="AD14" s="10" t="s">
        <v>37</v>
      </c>
      <c r="AE14" s="11"/>
      <c r="AF14" s="10" t="s">
        <v>37</v>
      </c>
      <c r="AG14" s="10" t="s">
        <v>37</v>
      </c>
      <c r="AH14" s="10" t="s">
        <v>37</v>
      </c>
      <c r="AI14" s="10" t="s">
        <v>37</v>
      </c>
      <c r="AJ14" s="10" t="s">
        <v>37</v>
      </c>
      <c r="AK14" s="1">
        <f t="shared" si="22"/>
        <v>27</v>
      </c>
      <c r="AL14" s="14">
        <f t="shared" si="23"/>
        <v>100</v>
      </c>
    </row>
    <row r="15" spans="2:38" ht="15.75" x14ac:dyDescent="0.25">
      <c r="C15" s="1">
        <v>760</v>
      </c>
      <c r="D15" s="1">
        <v>5</v>
      </c>
      <c r="E15" s="1" t="s">
        <v>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/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  <c r="Q15" s="10"/>
      <c r="R15" s="10" t="s">
        <v>37</v>
      </c>
      <c r="S15" s="10" t="s">
        <v>37</v>
      </c>
      <c r="T15" s="10" t="s">
        <v>37</v>
      </c>
      <c r="U15" s="10" t="s">
        <v>37</v>
      </c>
      <c r="V15" s="10" t="s">
        <v>37</v>
      </c>
      <c r="W15" s="10" t="s">
        <v>37</v>
      </c>
      <c r="X15" s="10"/>
      <c r="Y15" s="10" t="s">
        <v>37</v>
      </c>
      <c r="Z15" s="10" t="s">
        <v>37</v>
      </c>
      <c r="AA15" s="10" t="s">
        <v>37</v>
      </c>
      <c r="AB15" s="10" t="s">
        <v>37</v>
      </c>
      <c r="AC15" s="10" t="s">
        <v>37</v>
      </c>
      <c r="AD15" s="10" t="s">
        <v>37</v>
      </c>
      <c r="AE15" s="11"/>
      <c r="AF15" s="10" t="s">
        <v>37</v>
      </c>
      <c r="AG15" s="10" t="s">
        <v>37</v>
      </c>
      <c r="AH15" s="10" t="s">
        <v>37</v>
      </c>
      <c r="AI15" s="10" t="s">
        <v>37</v>
      </c>
      <c r="AJ15" s="10" t="s">
        <v>37</v>
      </c>
      <c r="AK15" s="1">
        <f t="shared" si="22"/>
        <v>27</v>
      </c>
      <c r="AL15" s="14">
        <f t="shared" si="23"/>
        <v>100</v>
      </c>
    </row>
    <row r="16" spans="2:38" ht="15.75" x14ac:dyDescent="0.25">
      <c r="C16" s="1">
        <v>761</v>
      </c>
      <c r="D16" s="1">
        <v>6</v>
      </c>
      <c r="E16" s="1" t="s">
        <v>8</v>
      </c>
      <c r="F16" s="10" t="s">
        <v>37</v>
      </c>
      <c r="G16" s="10" t="s">
        <v>37</v>
      </c>
      <c r="H16" s="10" t="s">
        <v>37</v>
      </c>
      <c r="I16" s="10" t="s">
        <v>37</v>
      </c>
      <c r="J16" s="10"/>
      <c r="K16" s="10" t="s">
        <v>37</v>
      </c>
      <c r="L16" s="10" t="s">
        <v>37</v>
      </c>
      <c r="M16" s="10" t="s">
        <v>37</v>
      </c>
      <c r="N16" s="10" t="s">
        <v>37</v>
      </c>
      <c r="O16" s="10" t="s">
        <v>37</v>
      </c>
      <c r="P16" s="10" t="s">
        <v>37</v>
      </c>
      <c r="Q16" s="10"/>
      <c r="R16" s="10" t="s">
        <v>37</v>
      </c>
      <c r="S16" s="10" t="s">
        <v>37</v>
      </c>
      <c r="T16" s="10" t="s">
        <v>37</v>
      </c>
      <c r="U16" s="10" t="s">
        <v>37</v>
      </c>
      <c r="V16" s="10" t="s">
        <v>37</v>
      </c>
      <c r="W16" s="10" t="s">
        <v>37</v>
      </c>
      <c r="X16" s="10"/>
      <c r="Y16" s="10" t="s">
        <v>37</v>
      </c>
      <c r="Z16" s="10" t="s">
        <v>37</v>
      </c>
      <c r="AA16" s="10" t="s">
        <v>37</v>
      </c>
      <c r="AB16" s="10" t="s">
        <v>37</v>
      </c>
      <c r="AC16" s="10" t="s">
        <v>37</v>
      </c>
      <c r="AD16" s="10" t="s">
        <v>37</v>
      </c>
      <c r="AE16" s="11"/>
      <c r="AF16" s="10" t="s">
        <v>37</v>
      </c>
      <c r="AG16" s="10" t="s">
        <v>37</v>
      </c>
      <c r="AH16" s="10" t="s">
        <v>37</v>
      </c>
      <c r="AI16" s="10" t="s">
        <v>37</v>
      </c>
      <c r="AJ16" s="10" t="s">
        <v>38</v>
      </c>
      <c r="AK16" s="1">
        <f t="shared" si="22"/>
        <v>26</v>
      </c>
      <c r="AL16" s="14">
        <f t="shared" si="23"/>
        <v>96.296296296296291</v>
      </c>
    </row>
    <row r="17" spans="3:38" ht="15.75" x14ac:dyDescent="0.25">
      <c r="C17" s="1">
        <v>762</v>
      </c>
      <c r="D17" s="1">
        <v>7</v>
      </c>
      <c r="E17" s="1" t="s">
        <v>9</v>
      </c>
      <c r="F17" s="10" t="s">
        <v>37</v>
      </c>
      <c r="G17" s="10" t="s">
        <v>37</v>
      </c>
      <c r="H17" s="10" t="s">
        <v>37</v>
      </c>
      <c r="I17" s="10" t="s">
        <v>37</v>
      </c>
      <c r="J17" s="10"/>
      <c r="K17" s="10" t="s">
        <v>37</v>
      </c>
      <c r="L17" s="10" t="s">
        <v>37</v>
      </c>
      <c r="M17" s="10" t="s">
        <v>37</v>
      </c>
      <c r="N17" s="10" t="s">
        <v>37</v>
      </c>
      <c r="O17" s="10" t="s">
        <v>37</v>
      </c>
      <c r="P17" s="10" t="s">
        <v>37</v>
      </c>
      <c r="Q17" s="10"/>
      <c r="R17" s="10" t="s">
        <v>37</v>
      </c>
      <c r="S17" s="10" t="s">
        <v>37</v>
      </c>
      <c r="T17" s="10" t="s">
        <v>37</v>
      </c>
      <c r="U17" s="10" t="s">
        <v>37</v>
      </c>
      <c r="V17" s="10" t="s">
        <v>37</v>
      </c>
      <c r="W17" s="10" t="s">
        <v>37</v>
      </c>
      <c r="X17" s="10"/>
      <c r="Y17" s="10" t="s">
        <v>37</v>
      </c>
      <c r="Z17" s="10" t="s">
        <v>37</v>
      </c>
      <c r="AA17" s="10" t="s">
        <v>37</v>
      </c>
      <c r="AB17" s="10" t="s">
        <v>37</v>
      </c>
      <c r="AC17" s="10" t="s">
        <v>37</v>
      </c>
      <c r="AD17" s="10" t="s">
        <v>37</v>
      </c>
      <c r="AE17" s="11"/>
      <c r="AF17" s="10" t="s">
        <v>37</v>
      </c>
      <c r="AG17" s="10" t="s">
        <v>37</v>
      </c>
      <c r="AH17" s="10" t="s">
        <v>37</v>
      </c>
      <c r="AI17" s="10" t="s">
        <v>37</v>
      </c>
      <c r="AJ17" s="10" t="s">
        <v>37</v>
      </c>
      <c r="AK17" s="1">
        <f t="shared" si="22"/>
        <v>27</v>
      </c>
      <c r="AL17" s="14">
        <f t="shared" si="23"/>
        <v>100</v>
      </c>
    </row>
    <row r="18" spans="3:38" ht="15.75" x14ac:dyDescent="0.25">
      <c r="C18" s="1">
        <v>763</v>
      </c>
      <c r="D18" s="1">
        <v>8</v>
      </c>
      <c r="E18" s="1" t="s">
        <v>10</v>
      </c>
      <c r="F18" s="10" t="s">
        <v>37</v>
      </c>
      <c r="G18" s="10" t="s">
        <v>37</v>
      </c>
      <c r="H18" s="10" t="s">
        <v>37</v>
      </c>
      <c r="I18" s="10" t="s">
        <v>37</v>
      </c>
      <c r="J18" s="10"/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0"/>
      <c r="R18" s="10" t="s">
        <v>37</v>
      </c>
      <c r="S18" s="10" t="s">
        <v>37</v>
      </c>
      <c r="T18" s="10" t="s">
        <v>37</v>
      </c>
      <c r="U18" s="10" t="s">
        <v>37</v>
      </c>
      <c r="V18" s="10" t="s">
        <v>37</v>
      </c>
      <c r="W18" s="10" t="s">
        <v>37</v>
      </c>
      <c r="X18" s="10"/>
      <c r="Y18" s="10" t="s">
        <v>37</v>
      </c>
      <c r="Z18" s="10" t="s">
        <v>37</v>
      </c>
      <c r="AA18" s="10" t="s">
        <v>37</v>
      </c>
      <c r="AB18" s="10" t="s">
        <v>37</v>
      </c>
      <c r="AC18" s="10" t="s">
        <v>39</v>
      </c>
      <c r="AD18" s="10" t="s">
        <v>39</v>
      </c>
      <c r="AE18" s="11"/>
      <c r="AF18" s="10" t="s">
        <v>37</v>
      </c>
      <c r="AG18" s="10" t="s">
        <v>37</v>
      </c>
      <c r="AH18" s="10" t="s">
        <v>37</v>
      </c>
      <c r="AI18" s="10" t="s">
        <v>37</v>
      </c>
      <c r="AJ18" s="10" t="s">
        <v>37</v>
      </c>
      <c r="AK18" s="1">
        <f t="shared" si="22"/>
        <v>25</v>
      </c>
      <c r="AL18" s="14">
        <f t="shared" si="23"/>
        <v>92.592592592592595</v>
      </c>
    </row>
    <row r="19" spans="3:38" ht="15.75" x14ac:dyDescent="0.25">
      <c r="C19" s="1">
        <v>764</v>
      </c>
      <c r="D19" s="1">
        <v>9</v>
      </c>
      <c r="E19" s="1" t="s">
        <v>11</v>
      </c>
      <c r="F19" s="10" t="s">
        <v>37</v>
      </c>
      <c r="G19" s="10" t="s">
        <v>37</v>
      </c>
      <c r="H19" s="10" t="s">
        <v>37</v>
      </c>
      <c r="I19" s="10" t="s">
        <v>37</v>
      </c>
      <c r="J19" s="10"/>
      <c r="K19" s="10" t="s">
        <v>37</v>
      </c>
      <c r="L19" s="10" t="s">
        <v>37</v>
      </c>
      <c r="M19" s="10" t="s">
        <v>37</v>
      </c>
      <c r="N19" s="10" t="s">
        <v>37</v>
      </c>
      <c r="O19" s="10" t="s">
        <v>37</v>
      </c>
      <c r="P19" s="10" t="s">
        <v>37</v>
      </c>
      <c r="Q19" s="10"/>
      <c r="R19" s="10" t="s">
        <v>37</v>
      </c>
      <c r="S19" s="10" t="s">
        <v>37</v>
      </c>
      <c r="T19" s="10" t="s">
        <v>37</v>
      </c>
      <c r="U19" s="10" t="s">
        <v>37</v>
      </c>
      <c r="V19" s="10" t="s">
        <v>37</v>
      </c>
      <c r="W19" s="10" t="s">
        <v>37</v>
      </c>
      <c r="X19" s="10"/>
      <c r="Y19" s="10" t="s">
        <v>38</v>
      </c>
      <c r="Z19" s="10" t="s">
        <v>38</v>
      </c>
      <c r="AA19" s="10" t="s">
        <v>38</v>
      </c>
      <c r="AB19" s="10" t="s">
        <v>38</v>
      </c>
      <c r="AC19" s="10" t="s">
        <v>37</v>
      </c>
      <c r="AD19" s="10" t="s">
        <v>37</v>
      </c>
      <c r="AE19" s="11"/>
      <c r="AF19" s="10" t="s">
        <v>37</v>
      </c>
      <c r="AG19" s="10" t="s">
        <v>37</v>
      </c>
      <c r="AH19" s="10" t="s">
        <v>37</v>
      </c>
      <c r="AI19" s="10" t="s">
        <v>37</v>
      </c>
      <c r="AJ19" s="10" t="s">
        <v>37</v>
      </c>
      <c r="AK19" s="1">
        <f t="shared" si="22"/>
        <v>23</v>
      </c>
      <c r="AL19" s="14">
        <f t="shared" si="23"/>
        <v>85.18518518518519</v>
      </c>
    </row>
    <row r="20" spans="3:38" ht="15.75" x14ac:dyDescent="0.25">
      <c r="C20" s="1">
        <v>765</v>
      </c>
      <c r="D20" s="1">
        <v>10</v>
      </c>
      <c r="E20" s="1" t="s">
        <v>12</v>
      </c>
      <c r="F20" s="10" t="s">
        <v>37</v>
      </c>
      <c r="G20" s="10" t="s">
        <v>37</v>
      </c>
      <c r="H20" s="10" t="s">
        <v>37</v>
      </c>
      <c r="I20" s="10" t="s">
        <v>37</v>
      </c>
      <c r="J20" s="10"/>
      <c r="K20" s="10" t="s">
        <v>37</v>
      </c>
      <c r="L20" s="10" t="s">
        <v>37</v>
      </c>
      <c r="M20" s="10" t="s">
        <v>37</v>
      </c>
      <c r="N20" s="10" t="s">
        <v>37</v>
      </c>
      <c r="O20" s="10" t="s">
        <v>37</v>
      </c>
      <c r="P20" s="10" t="s">
        <v>37</v>
      </c>
      <c r="Q20" s="10"/>
      <c r="R20" s="10" t="s">
        <v>37</v>
      </c>
      <c r="S20" s="10" t="s">
        <v>37</v>
      </c>
      <c r="T20" s="10" t="s">
        <v>37</v>
      </c>
      <c r="U20" s="10" t="s">
        <v>37</v>
      </c>
      <c r="V20" s="10" t="s">
        <v>37</v>
      </c>
      <c r="W20" s="10" t="s">
        <v>37</v>
      </c>
      <c r="X20" s="10"/>
      <c r="Y20" s="10" t="s">
        <v>37</v>
      </c>
      <c r="Z20" s="10" t="s">
        <v>37</v>
      </c>
      <c r="AA20" s="10" t="s">
        <v>37</v>
      </c>
      <c r="AB20" s="10" t="s">
        <v>37</v>
      </c>
      <c r="AC20" s="10" t="s">
        <v>37</v>
      </c>
      <c r="AD20" s="10" t="s">
        <v>37</v>
      </c>
      <c r="AE20" s="11"/>
      <c r="AF20" s="10" t="s">
        <v>37</v>
      </c>
      <c r="AG20" s="10" t="s">
        <v>37</v>
      </c>
      <c r="AH20" s="10" t="s">
        <v>37</v>
      </c>
      <c r="AI20" s="10" t="s">
        <v>37</v>
      </c>
      <c r="AJ20" s="10" t="s">
        <v>37</v>
      </c>
      <c r="AK20" s="1">
        <f t="shared" si="22"/>
        <v>27</v>
      </c>
      <c r="AL20" s="14">
        <f t="shared" si="23"/>
        <v>100</v>
      </c>
    </row>
    <row r="21" spans="3:38" ht="15.75" x14ac:dyDescent="0.25">
      <c r="C21" s="1">
        <v>766</v>
      </c>
      <c r="D21" s="1">
        <v>11</v>
      </c>
      <c r="E21" s="1" t="s">
        <v>13</v>
      </c>
      <c r="F21" s="10" t="s">
        <v>37</v>
      </c>
      <c r="G21" s="10" t="s">
        <v>37</v>
      </c>
      <c r="H21" s="10" t="s">
        <v>37</v>
      </c>
      <c r="I21" s="10" t="s">
        <v>37</v>
      </c>
      <c r="J21" s="10"/>
      <c r="K21" s="10" t="s">
        <v>37</v>
      </c>
      <c r="L21" s="10" t="s">
        <v>37</v>
      </c>
      <c r="M21" s="10" t="s">
        <v>37</v>
      </c>
      <c r="N21" s="10" t="s">
        <v>37</v>
      </c>
      <c r="O21" s="10" t="s">
        <v>37</v>
      </c>
      <c r="P21" s="10" t="s">
        <v>37</v>
      </c>
      <c r="Q21" s="10"/>
      <c r="R21" s="10" t="s">
        <v>37</v>
      </c>
      <c r="S21" s="10" t="s">
        <v>37</v>
      </c>
      <c r="T21" s="10" t="s">
        <v>37</v>
      </c>
      <c r="U21" s="10" t="s">
        <v>37</v>
      </c>
      <c r="V21" s="10" t="s">
        <v>37</v>
      </c>
      <c r="W21" s="10" t="s">
        <v>37</v>
      </c>
      <c r="X21" s="10"/>
      <c r="Y21" s="10" t="s">
        <v>37</v>
      </c>
      <c r="Z21" s="10" t="s">
        <v>37</v>
      </c>
      <c r="AA21" s="10" t="s">
        <v>37</v>
      </c>
      <c r="AB21" s="10" t="s">
        <v>37</v>
      </c>
      <c r="AC21" s="10" t="s">
        <v>37</v>
      </c>
      <c r="AD21" s="10" t="s">
        <v>37</v>
      </c>
      <c r="AE21" s="11"/>
      <c r="AF21" s="10" t="s">
        <v>37</v>
      </c>
      <c r="AG21" s="10" t="s">
        <v>37</v>
      </c>
      <c r="AH21" s="10" t="s">
        <v>37</v>
      </c>
      <c r="AI21" s="10" t="s">
        <v>37</v>
      </c>
      <c r="AJ21" s="10" t="s">
        <v>37</v>
      </c>
      <c r="AK21" s="1">
        <f t="shared" si="22"/>
        <v>27</v>
      </c>
      <c r="AL21" s="14">
        <f t="shared" si="23"/>
        <v>100</v>
      </c>
    </row>
    <row r="22" spans="3:38" ht="15.75" x14ac:dyDescent="0.25">
      <c r="C22" s="1">
        <v>767</v>
      </c>
      <c r="D22" s="1">
        <v>12</v>
      </c>
      <c r="E22" s="1" t="s">
        <v>14</v>
      </c>
      <c r="F22" s="10" t="s">
        <v>37</v>
      </c>
      <c r="G22" s="10" t="s">
        <v>37</v>
      </c>
      <c r="H22" s="10" t="s">
        <v>37</v>
      </c>
      <c r="I22" s="10" t="s">
        <v>37</v>
      </c>
      <c r="J22" s="10"/>
      <c r="K22" s="10" t="s">
        <v>37</v>
      </c>
      <c r="L22" s="10" t="s">
        <v>37</v>
      </c>
      <c r="M22" s="10" t="s">
        <v>37</v>
      </c>
      <c r="N22" s="10" t="s">
        <v>37</v>
      </c>
      <c r="O22" s="10" t="s">
        <v>37</v>
      </c>
      <c r="P22" s="10" t="s">
        <v>37</v>
      </c>
      <c r="Q22" s="10"/>
      <c r="R22" s="10" t="s">
        <v>37</v>
      </c>
      <c r="S22" s="10" t="s">
        <v>37</v>
      </c>
      <c r="T22" s="10" t="s">
        <v>37</v>
      </c>
      <c r="U22" s="10" t="s">
        <v>37</v>
      </c>
      <c r="V22" s="10" t="s">
        <v>37</v>
      </c>
      <c r="W22" s="10" t="s">
        <v>37</v>
      </c>
      <c r="X22" s="10"/>
      <c r="Y22" s="10" t="s">
        <v>37</v>
      </c>
      <c r="Z22" s="10" t="s">
        <v>37</v>
      </c>
      <c r="AA22" s="10" t="s">
        <v>37</v>
      </c>
      <c r="AB22" s="10" t="s">
        <v>37</v>
      </c>
      <c r="AC22" s="10" t="s">
        <v>37</v>
      </c>
      <c r="AD22" s="10" t="s">
        <v>37</v>
      </c>
      <c r="AE22" s="11"/>
      <c r="AF22" s="10" t="s">
        <v>37</v>
      </c>
      <c r="AG22" s="10" t="s">
        <v>37</v>
      </c>
      <c r="AH22" s="10" t="s">
        <v>37</v>
      </c>
      <c r="AI22" s="10" t="s">
        <v>37</v>
      </c>
      <c r="AJ22" s="10" t="s">
        <v>37</v>
      </c>
      <c r="AK22" s="1">
        <f t="shared" si="22"/>
        <v>27</v>
      </c>
      <c r="AL22" s="14">
        <f t="shared" si="23"/>
        <v>100</v>
      </c>
    </row>
    <row r="23" spans="3:38" ht="15.75" x14ac:dyDescent="0.25">
      <c r="C23" s="1">
        <v>768</v>
      </c>
      <c r="D23" s="1">
        <v>13</v>
      </c>
      <c r="E23" s="1" t="s">
        <v>15</v>
      </c>
      <c r="F23" s="10" t="s">
        <v>37</v>
      </c>
      <c r="G23" s="10" t="s">
        <v>37</v>
      </c>
      <c r="H23" s="10" t="s">
        <v>37</v>
      </c>
      <c r="I23" s="10" t="s">
        <v>37</v>
      </c>
      <c r="J23" s="10"/>
      <c r="K23" s="10" t="s">
        <v>37</v>
      </c>
      <c r="L23" s="10" t="s">
        <v>37</v>
      </c>
      <c r="M23" s="10" t="s">
        <v>37</v>
      </c>
      <c r="N23" s="10" t="s">
        <v>37</v>
      </c>
      <c r="O23" s="10" t="s">
        <v>37</v>
      </c>
      <c r="P23" s="10" t="s">
        <v>37</v>
      </c>
      <c r="Q23" s="10"/>
      <c r="R23" s="10" t="s">
        <v>37</v>
      </c>
      <c r="S23" s="10" t="s">
        <v>37</v>
      </c>
      <c r="T23" s="10" t="s">
        <v>37</v>
      </c>
      <c r="U23" s="10" t="s">
        <v>37</v>
      </c>
      <c r="V23" s="10" t="s">
        <v>37</v>
      </c>
      <c r="W23" s="10" t="s">
        <v>37</v>
      </c>
      <c r="X23" s="10"/>
      <c r="Y23" s="10" t="s">
        <v>37</v>
      </c>
      <c r="Z23" s="10" t="s">
        <v>37</v>
      </c>
      <c r="AA23" s="10" t="s">
        <v>37</v>
      </c>
      <c r="AB23" s="10" t="s">
        <v>37</v>
      </c>
      <c r="AC23" s="10" t="s">
        <v>37</v>
      </c>
      <c r="AD23" s="10" t="s">
        <v>37</v>
      </c>
      <c r="AE23" s="11"/>
      <c r="AF23" s="10" t="s">
        <v>37</v>
      </c>
      <c r="AG23" s="10" t="s">
        <v>37</v>
      </c>
      <c r="AH23" s="10" t="s">
        <v>37</v>
      </c>
      <c r="AI23" s="10" t="s">
        <v>37</v>
      </c>
      <c r="AJ23" s="10" t="s">
        <v>37</v>
      </c>
      <c r="AK23" s="1">
        <f t="shared" si="22"/>
        <v>27</v>
      </c>
      <c r="AL23" s="14">
        <f t="shared" si="23"/>
        <v>100</v>
      </c>
    </row>
    <row r="24" spans="3:38" ht="15.75" x14ac:dyDescent="0.25">
      <c r="C24" s="1">
        <v>769</v>
      </c>
      <c r="D24" s="1">
        <v>14</v>
      </c>
      <c r="E24" s="1" t="s">
        <v>16</v>
      </c>
      <c r="F24" s="10" t="s">
        <v>37</v>
      </c>
      <c r="G24" s="10" t="s">
        <v>37</v>
      </c>
      <c r="H24" s="10" t="s">
        <v>37</v>
      </c>
      <c r="I24" s="10" t="s">
        <v>37</v>
      </c>
      <c r="J24" s="10"/>
      <c r="K24" s="10" t="s">
        <v>37</v>
      </c>
      <c r="L24" s="10" t="s">
        <v>37</v>
      </c>
      <c r="M24" s="10" t="s">
        <v>37</v>
      </c>
      <c r="N24" s="10" t="s">
        <v>37</v>
      </c>
      <c r="O24" s="10" t="s">
        <v>37</v>
      </c>
      <c r="P24" s="10" t="s">
        <v>37</v>
      </c>
      <c r="Q24" s="10"/>
      <c r="R24" s="10" t="s">
        <v>37</v>
      </c>
      <c r="S24" s="10" t="s">
        <v>37</v>
      </c>
      <c r="T24" s="10" t="s">
        <v>37</v>
      </c>
      <c r="U24" s="10" t="s">
        <v>37</v>
      </c>
      <c r="V24" s="10" t="s">
        <v>37</v>
      </c>
      <c r="W24" s="10" t="s">
        <v>37</v>
      </c>
      <c r="X24" s="10"/>
      <c r="Y24" s="10" t="s">
        <v>37</v>
      </c>
      <c r="Z24" s="10" t="s">
        <v>37</v>
      </c>
      <c r="AA24" s="10" t="s">
        <v>37</v>
      </c>
      <c r="AB24" s="10" t="s">
        <v>37</v>
      </c>
      <c r="AC24" s="10" t="s">
        <v>37</v>
      </c>
      <c r="AD24" s="10" t="s">
        <v>37</v>
      </c>
      <c r="AE24" s="11"/>
      <c r="AF24" s="10" t="s">
        <v>37</v>
      </c>
      <c r="AG24" s="10" t="s">
        <v>37</v>
      </c>
      <c r="AH24" s="10" t="s">
        <v>37</v>
      </c>
      <c r="AI24" s="10" t="s">
        <v>37</v>
      </c>
      <c r="AJ24" s="10" t="s">
        <v>37</v>
      </c>
      <c r="AK24" s="1">
        <f t="shared" si="22"/>
        <v>27</v>
      </c>
      <c r="AL24" s="14">
        <f t="shared" si="23"/>
        <v>100</v>
      </c>
    </row>
    <row r="25" spans="3:38" ht="15.75" x14ac:dyDescent="0.25">
      <c r="C25" s="1">
        <v>770</v>
      </c>
      <c r="D25" s="1">
        <v>15</v>
      </c>
      <c r="E25" s="1" t="s">
        <v>17</v>
      </c>
      <c r="F25" s="10" t="s">
        <v>37</v>
      </c>
      <c r="G25" s="10" t="s">
        <v>37</v>
      </c>
      <c r="H25" s="10" t="s">
        <v>37</v>
      </c>
      <c r="I25" s="10" t="s">
        <v>37</v>
      </c>
      <c r="J25" s="10"/>
      <c r="K25" s="10" t="s">
        <v>37</v>
      </c>
      <c r="L25" s="10" t="s">
        <v>37</v>
      </c>
      <c r="M25" s="10" t="s">
        <v>37</v>
      </c>
      <c r="N25" s="10" t="s">
        <v>37</v>
      </c>
      <c r="O25" s="10" t="s">
        <v>37</v>
      </c>
      <c r="P25" s="10" t="s">
        <v>37</v>
      </c>
      <c r="Q25" s="10"/>
      <c r="R25" s="10" t="s">
        <v>37</v>
      </c>
      <c r="S25" s="10" t="s">
        <v>37</v>
      </c>
      <c r="T25" s="10" t="s">
        <v>37</v>
      </c>
      <c r="U25" s="10" t="s">
        <v>37</v>
      </c>
      <c r="V25" s="10" t="s">
        <v>37</v>
      </c>
      <c r="W25" s="10" t="s">
        <v>37</v>
      </c>
      <c r="X25" s="10"/>
      <c r="Y25" s="10" t="s">
        <v>37</v>
      </c>
      <c r="Z25" s="10" t="s">
        <v>37</v>
      </c>
      <c r="AA25" s="10" t="s">
        <v>37</v>
      </c>
      <c r="AB25" s="10" t="s">
        <v>37</v>
      </c>
      <c r="AC25" s="10" t="s">
        <v>37</v>
      </c>
      <c r="AD25" s="10" t="s">
        <v>37</v>
      </c>
      <c r="AE25" s="10"/>
      <c r="AF25" s="10" t="s">
        <v>37</v>
      </c>
      <c r="AG25" s="10" t="s">
        <v>37</v>
      </c>
      <c r="AH25" s="10" t="s">
        <v>37</v>
      </c>
      <c r="AI25" s="10" t="s">
        <v>37</v>
      </c>
      <c r="AJ25" s="10" t="s">
        <v>37</v>
      </c>
      <c r="AK25" s="1">
        <f t="shared" si="22"/>
        <v>27</v>
      </c>
      <c r="AL25" s="14">
        <f t="shared" si="23"/>
        <v>100</v>
      </c>
    </row>
    <row r="26" spans="3:38" ht="15.75" x14ac:dyDescent="0.25">
      <c r="C26" s="1">
        <v>771</v>
      </c>
      <c r="D26" s="1">
        <v>16</v>
      </c>
      <c r="E26" s="1" t="s">
        <v>18</v>
      </c>
      <c r="F26" s="10" t="s">
        <v>37</v>
      </c>
      <c r="G26" s="10" t="s">
        <v>37</v>
      </c>
      <c r="H26" s="10" t="s">
        <v>37</v>
      </c>
      <c r="I26" s="10" t="s">
        <v>37</v>
      </c>
      <c r="J26" s="10"/>
      <c r="K26" s="10" t="s">
        <v>37</v>
      </c>
      <c r="L26" s="10" t="s">
        <v>37</v>
      </c>
      <c r="M26" s="10" t="s">
        <v>37</v>
      </c>
      <c r="N26" s="10" t="s">
        <v>37</v>
      </c>
      <c r="O26" s="10" t="s">
        <v>37</v>
      </c>
      <c r="P26" s="10" t="s">
        <v>37</v>
      </c>
      <c r="Q26" s="10"/>
      <c r="R26" s="10" t="s">
        <v>37</v>
      </c>
      <c r="S26" s="10" t="s">
        <v>37</v>
      </c>
      <c r="T26" s="10" t="s">
        <v>37</v>
      </c>
      <c r="U26" s="10" t="s">
        <v>37</v>
      </c>
      <c r="V26" s="10" t="s">
        <v>37</v>
      </c>
      <c r="W26" s="10" t="s">
        <v>37</v>
      </c>
      <c r="X26" s="10"/>
      <c r="Y26" s="10" t="s">
        <v>37</v>
      </c>
      <c r="Z26" s="10" t="s">
        <v>37</v>
      </c>
      <c r="AA26" s="10" t="s">
        <v>37</v>
      </c>
      <c r="AB26" s="10" t="s">
        <v>37</v>
      </c>
      <c r="AC26" s="10" t="s">
        <v>37</v>
      </c>
      <c r="AD26" s="10" t="s">
        <v>37</v>
      </c>
      <c r="AE26" s="10"/>
      <c r="AF26" s="10" t="s">
        <v>37</v>
      </c>
      <c r="AG26" s="10" t="s">
        <v>37</v>
      </c>
      <c r="AH26" s="10" t="s">
        <v>37</v>
      </c>
      <c r="AI26" s="10" t="s">
        <v>37</v>
      </c>
      <c r="AJ26" s="10" t="s">
        <v>37</v>
      </c>
      <c r="AK26" s="1">
        <f t="shared" si="22"/>
        <v>27</v>
      </c>
      <c r="AL26" s="14">
        <f t="shared" si="23"/>
        <v>100</v>
      </c>
    </row>
    <row r="27" spans="3:38" ht="15.75" x14ac:dyDescent="0.25">
      <c r="C27" s="1">
        <v>772</v>
      </c>
      <c r="D27" s="1">
        <v>17</v>
      </c>
      <c r="E27" s="1" t="s">
        <v>19</v>
      </c>
      <c r="F27" s="10" t="s">
        <v>37</v>
      </c>
      <c r="G27" s="10" t="s">
        <v>37</v>
      </c>
      <c r="H27" s="10" t="s">
        <v>37</v>
      </c>
      <c r="I27" s="10" t="s">
        <v>37</v>
      </c>
      <c r="J27" s="10"/>
      <c r="K27" s="10" t="s">
        <v>37</v>
      </c>
      <c r="L27" s="10" t="s">
        <v>37</v>
      </c>
      <c r="M27" s="10" t="s">
        <v>37</v>
      </c>
      <c r="N27" s="10" t="s">
        <v>37</v>
      </c>
      <c r="O27" s="10" t="s">
        <v>37</v>
      </c>
      <c r="P27" s="10" t="s">
        <v>37</v>
      </c>
      <c r="Q27" s="10"/>
      <c r="R27" s="10" t="s">
        <v>37</v>
      </c>
      <c r="S27" s="10" t="s">
        <v>37</v>
      </c>
      <c r="T27" s="10" t="s">
        <v>37</v>
      </c>
      <c r="U27" s="10" t="s">
        <v>37</v>
      </c>
      <c r="V27" s="10" t="s">
        <v>37</v>
      </c>
      <c r="W27" s="10" t="s">
        <v>37</v>
      </c>
      <c r="X27" s="10"/>
      <c r="Y27" s="10" t="s">
        <v>37</v>
      </c>
      <c r="Z27" s="10" t="s">
        <v>37</v>
      </c>
      <c r="AA27" s="10" t="s">
        <v>37</v>
      </c>
      <c r="AB27" s="10" t="s">
        <v>37</v>
      </c>
      <c r="AC27" s="10" t="s">
        <v>37</v>
      </c>
      <c r="AD27" s="10" t="s">
        <v>37</v>
      </c>
      <c r="AE27" s="10"/>
      <c r="AF27" s="10" t="s">
        <v>37</v>
      </c>
      <c r="AG27" s="10" t="s">
        <v>37</v>
      </c>
      <c r="AH27" s="10" t="s">
        <v>37</v>
      </c>
      <c r="AI27" s="10" t="s">
        <v>37</v>
      </c>
      <c r="AJ27" s="10" t="s">
        <v>37</v>
      </c>
      <c r="AK27" s="1">
        <f t="shared" si="22"/>
        <v>27</v>
      </c>
      <c r="AL27" s="14">
        <f t="shared" si="23"/>
        <v>100</v>
      </c>
    </row>
    <row r="28" spans="3:38" ht="15.75" x14ac:dyDescent="0.25">
      <c r="C28" s="1">
        <v>773</v>
      </c>
      <c r="D28" s="1">
        <v>18</v>
      </c>
      <c r="E28" s="1" t="s">
        <v>20</v>
      </c>
      <c r="F28" s="10" t="s">
        <v>37</v>
      </c>
      <c r="G28" s="10" t="s">
        <v>37</v>
      </c>
      <c r="H28" s="10" t="s">
        <v>37</v>
      </c>
      <c r="I28" s="10" t="s">
        <v>37</v>
      </c>
      <c r="J28" s="10"/>
      <c r="K28" s="10" t="s">
        <v>37</v>
      </c>
      <c r="L28" s="10" t="s">
        <v>37</v>
      </c>
      <c r="M28" s="10" t="s">
        <v>37</v>
      </c>
      <c r="N28" s="10" t="s">
        <v>37</v>
      </c>
      <c r="O28" s="10" t="s">
        <v>37</v>
      </c>
      <c r="P28" s="10" t="s">
        <v>37</v>
      </c>
      <c r="Q28" s="10"/>
      <c r="R28" s="10" t="s">
        <v>37</v>
      </c>
      <c r="S28" s="10" t="s">
        <v>37</v>
      </c>
      <c r="T28" s="10" t="s">
        <v>37</v>
      </c>
      <c r="U28" s="10" t="s">
        <v>37</v>
      </c>
      <c r="V28" s="10" t="s">
        <v>37</v>
      </c>
      <c r="W28" s="10" t="s">
        <v>37</v>
      </c>
      <c r="X28" s="10"/>
      <c r="Y28" s="10" t="s">
        <v>37</v>
      </c>
      <c r="Z28" s="10" t="s">
        <v>37</v>
      </c>
      <c r="AA28" s="10" t="s">
        <v>37</v>
      </c>
      <c r="AB28" s="10" t="s">
        <v>37</v>
      </c>
      <c r="AC28" s="10" t="s">
        <v>37</v>
      </c>
      <c r="AD28" s="10" t="s">
        <v>37</v>
      </c>
      <c r="AE28" s="10"/>
      <c r="AF28" s="10" t="s">
        <v>37</v>
      </c>
      <c r="AG28" s="10" t="s">
        <v>37</v>
      </c>
      <c r="AH28" s="10" t="s">
        <v>37</v>
      </c>
      <c r="AI28" s="10" t="s">
        <v>37</v>
      </c>
      <c r="AJ28" s="10" t="s">
        <v>37</v>
      </c>
      <c r="AK28" s="1">
        <f t="shared" si="22"/>
        <v>27</v>
      </c>
      <c r="AL28" s="14">
        <f t="shared" si="23"/>
        <v>100</v>
      </c>
    </row>
    <row r="29" spans="3:38" ht="15.75" x14ac:dyDescent="0.25">
      <c r="C29" s="1">
        <v>774</v>
      </c>
      <c r="D29" s="1">
        <v>19</v>
      </c>
      <c r="E29" s="1" t="s">
        <v>21</v>
      </c>
      <c r="F29" s="10" t="s">
        <v>37</v>
      </c>
      <c r="G29" s="10" t="s">
        <v>37</v>
      </c>
      <c r="H29" s="10" t="s">
        <v>37</v>
      </c>
      <c r="I29" s="10" t="s">
        <v>37</v>
      </c>
      <c r="J29" s="10"/>
      <c r="K29" s="10" t="s">
        <v>37</v>
      </c>
      <c r="L29" s="10" t="s">
        <v>37</v>
      </c>
      <c r="M29" s="10" t="s">
        <v>37</v>
      </c>
      <c r="N29" s="10" t="s">
        <v>37</v>
      </c>
      <c r="O29" s="10" t="s">
        <v>37</v>
      </c>
      <c r="P29" s="10" t="s">
        <v>37</v>
      </c>
      <c r="Q29" s="10"/>
      <c r="R29" s="10" t="s">
        <v>37</v>
      </c>
      <c r="S29" s="10" t="s">
        <v>37</v>
      </c>
      <c r="T29" s="10" t="s">
        <v>37</v>
      </c>
      <c r="U29" s="10" t="s">
        <v>37</v>
      </c>
      <c r="V29" s="10" t="s">
        <v>37</v>
      </c>
      <c r="W29" s="10" t="s">
        <v>37</v>
      </c>
      <c r="X29" s="10"/>
      <c r="Y29" s="10" t="s">
        <v>37</v>
      </c>
      <c r="Z29" s="10" t="s">
        <v>37</v>
      </c>
      <c r="AA29" s="10" t="s">
        <v>37</v>
      </c>
      <c r="AB29" s="10" t="s">
        <v>37</v>
      </c>
      <c r="AC29" s="10" t="s">
        <v>37</v>
      </c>
      <c r="AD29" s="10" t="s">
        <v>37</v>
      </c>
      <c r="AE29" s="10"/>
      <c r="AF29" s="10" t="s">
        <v>37</v>
      </c>
      <c r="AG29" s="10" t="s">
        <v>37</v>
      </c>
      <c r="AH29" s="10" t="s">
        <v>37</v>
      </c>
      <c r="AI29" s="10" t="s">
        <v>37</v>
      </c>
      <c r="AJ29" s="10" t="s">
        <v>37</v>
      </c>
      <c r="AK29" s="1">
        <f t="shared" si="22"/>
        <v>27</v>
      </c>
      <c r="AL29" s="14">
        <f t="shared" si="23"/>
        <v>100</v>
      </c>
    </row>
    <row r="30" spans="3:38" ht="15.75" x14ac:dyDescent="0.25">
      <c r="C30" s="1">
        <v>775</v>
      </c>
      <c r="D30" s="1">
        <v>20</v>
      </c>
      <c r="E30" s="1" t="s">
        <v>22</v>
      </c>
      <c r="F30" s="10" t="s">
        <v>37</v>
      </c>
      <c r="G30" s="10" t="s">
        <v>37</v>
      </c>
      <c r="H30" s="10" t="s">
        <v>37</v>
      </c>
      <c r="I30" s="10" t="s">
        <v>37</v>
      </c>
      <c r="J30" s="10"/>
      <c r="K30" s="10" t="s">
        <v>37</v>
      </c>
      <c r="L30" s="10" t="s">
        <v>37</v>
      </c>
      <c r="M30" s="10" t="s">
        <v>37</v>
      </c>
      <c r="N30" s="10" t="s">
        <v>37</v>
      </c>
      <c r="O30" s="10" t="s">
        <v>37</v>
      </c>
      <c r="P30" s="10" t="s">
        <v>37</v>
      </c>
      <c r="Q30" s="10"/>
      <c r="R30" s="10" t="s">
        <v>38</v>
      </c>
      <c r="S30" s="10" t="s">
        <v>38</v>
      </c>
      <c r="T30" s="10" t="s">
        <v>38</v>
      </c>
      <c r="U30" s="10" t="s">
        <v>38</v>
      </c>
      <c r="V30" s="10" t="s">
        <v>38</v>
      </c>
      <c r="W30" s="10" t="s">
        <v>37</v>
      </c>
      <c r="X30" s="10"/>
      <c r="Y30" s="10" t="s">
        <v>37</v>
      </c>
      <c r="Z30" s="10" t="s">
        <v>37</v>
      </c>
      <c r="AA30" s="10" t="s">
        <v>37</v>
      </c>
      <c r="AB30" s="10" t="s">
        <v>37</v>
      </c>
      <c r="AC30" s="10" t="s">
        <v>37</v>
      </c>
      <c r="AD30" s="10" t="s">
        <v>37</v>
      </c>
      <c r="AE30" s="10"/>
      <c r="AF30" s="10" t="s">
        <v>37</v>
      </c>
      <c r="AG30" s="10" t="s">
        <v>37</v>
      </c>
      <c r="AH30" s="10" t="s">
        <v>37</v>
      </c>
      <c r="AI30" s="10" t="s">
        <v>37</v>
      </c>
      <c r="AJ30" s="10" t="s">
        <v>37</v>
      </c>
      <c r="AK30" s="1">
        <f t="shared" si="22"/>
        <v>22</v>
      </c>
      <c r="AL30" s="14">
        <f t="shared" si="23"/>
        <v>81.481481481481481</v>
      </c>
    </row>
    <row r="31" spans="3:38" ht="15.75" x14ac:dyDescent="0.25">
      <c r="C31" s="1">
        <v>776</v>
      </c>
      <c r="D31" s="1">
        <v>21</v>
      </c>
      <c r="E31" s="1" t="s">
        <v>23</v>
      </c>
      <c r="F31" s="10" t="s">
        <v>37</v>
      </c>
      <c r="G31" s="10" t="s">
        <v>37</v>
      </c>
      <c r="H31" s="10" t="s">
        <v>37</v>
      </c>
      <c r="I31" s="10" t="s">
        <v>37</v>
      </c>
      <c r="J31" s="10"/>
      <c r="K31" s="10" t="s">
        <v>37</v>
      </c>
      <c r="L31" s="10" t="s">
        <v>37</v>
      </c>
      <c r="M31" s="10" t="s">
        <v>37</v>
      </c>
      <c r="N31" s="10" t="s">
        <v>37</v>
      </c>
      <c r="O31" s="10" t="s">
        <v>37</v>
      </c>
      <c r="P31" s="10" t="s">
        <v>37</v>
      </c>
      <c r="Q31" s="10"/>
      <c r="R31" s="10" t="s">
        <v>37</v>
      </c>
      <c r="S31" s="10" t="s">
        <v>37</v>
      </c>
      <c r="T31" s="10" t="s">
        <v>37</v>
      </c>
      <c r="U31" s="10" t="s">
        <v>37</v>
      </c>
      <c r="V31" s="10" t="s">
        <v>37</v>
      </c>
      <c r="W31" s="10" t="s">
        <v>37</v>
      </c>
      <c r="X31" s="10"/>
      <c r="Y31" s="10" t="s">
        <v>37</v>
      </c>
      <c r="Z31" s="10" t="s">
        <v>37</v>
      </c>
      <c r="AA31" s="10" t="s">
        <v>37</v>
      </c>
      <c r="AB31" s="10" t="s">
        <v>37</v>
      </c>
      <c r="AC31" s="10" t="s">
        <v>37</v>
      </c>
      <c r="AD31" s="10" t="s">
        <v>37</v>
      </c>
      <c r="AE31" s="10"/>
      <c r="AF31" s="10" t="s">
        <v>37</v>
      </c>
      <c r="AG31" s="10" t="s">
        <v>37</v>
      </c>
      <c r="AH31" s="10" t="s">
        <v>37</v>
      </c>
      <c r="AI31" s="10" t="s">
        <v>37</v>
      </c>
      <c r="AJ31" s="10" t="s">
        <v>37</v>
      </c>
      <c r="AK31" s="1">
        <f t="shared" si="22"/>
        <v>27</v>
      </c>
      <c r="AL31" s="14">
        <f t="shared" si="23"/>
        <v>100</v>
      </c>
    </row>
    <row r="32" spans="3:38" ht="15.75" x14ac:dyDescent="0.25">
      <c r="C32" s="1">
        <v>777</v>
      </c>
      <c r="D32" s="1">
        <v>22</v>
      </c>
      <c r="E32" s="1" t="s">
        <v>24</v>
      </c>
      <c r="F32" s="10" t="s">
        <v>37</v>
      </c>
      <c r="G32" s="10" t="s">
        <v>37</v>
      </c>
      <c r="H32" s="10" t="s">
        <v>37</v>
      </c>
      <c r="I32" s="10" t="s">
        <v>37</v>
      </c>
      <c r="J32" s="10"/>
      <c r="K32" s="10" t="s">
        <v>37</v>
      </c>
      <c r="L32" s="10" t="s">
        <v>37</v>
      </c>
      <c r="M32" s="10" t="s">
        <v>37</v>
      </c>
      <c r="N32" s="10" t="s">
        <v>37</v>
      </c>
      <c r="O32" s="10" t="s">
        <v>37</v>
      </c>
      <c r="P32" s="10" t="s">
        <v>37</v>
      </c>
      <c r="Q32" s="10"/>
      <c r="R32" s="10" t="s">
        <v>37</v>
      </c>
      <c r="S32" s="10" t="s">
        <v>37</v>
      </c>
      <c r="T32" s="10" t="s">
        <v>37</v>
      </c>
      <c r="U32" s="10" t="s">
        <v>37</v>
      </c>
      <c r="V32" s="10" t="s">
        <v>37</v>
      </c>
      <c r="W32" s="10" t="s">
        <v>37</v>
      </c>
      <c r="X32" s="10"/>
      <c r="Y32" s="10" t="s">
        <v>37</v>
      </c>
      <c r="Z32" s="10" t="s">
        <v>37</v>
      </c>
      <c r="AA32" s="10" t="s">
        <v>37</v>
      </c>
      <c r="AB32" s="10" t="s">
        <v>37</v>
      </c>
      <c r="AC32" s="10" t="s">
        <v>37</v>
      </c>
      <c r="AD32" s="10" t="s">
        <v>37</v>
      </c>
      <c r="AE32" s="10"/>
      <c r="AF32" s="10" t="s">
        <v>37</v>
      </c>
      <c r="AG32" s="10" t="s">
        <v>37</v>
      </c>
      <c r="AH32" s="10" t="s">
        <v>37</v>
      </c>
      <c r="AI32" s="10" t="s">
        <v>37</v>
      </c>
      <c r="AJ32" s="10" t="s">
        <v>37</v>
      </c>
      <c r="AK32" s="1">
        <f t="shared" si="22"/>
        <v>27</v>
      </c>
      <c r="AL32" s="14">
        <f t="shared" si="23"/>
        <v>100</v>
      </c>
    </row>
    <row r="33" spans="3:38" ht="15.75" x14ac:dyDescent="0.25">
      <c r="C33" s="1">
        <v>778</v>
      </c>
      <c r="D33" s="1">
        <v>23</v>
      </c>
      <c r="E33" s="1" t="s">
        <v>25</v>
      </c>
      <c r="F33" s="10" t="s">
        <v>37</v>
      </c>
      <c r="G33" s="10" t="s">
        <v>37</v>
      </c>
      <c r="H33" s="10" t="s">
        <v>37</v>
      </c>
      <c r="I33" s="10" t="s">
        <v>37</v>
      </c>
      <c r="J33" s="11"/>
      <c r="K33" s="10" t="s">
        <v>37</v>
      </c>
      <c r="L33" s="10" t="s">
        <v>37</v>
      </c>
      <c r="M33" s="10" t="s">
        <v>37</v>
      </c>
      <c r="N33" s="10" t="s">
        <v>37</v>
      </c>
      <c r="O33" s="10" t="s">
        <v>37</v>
      </c>
      <c r="P33" s="10" t="s">
        <v>37</v>
      </c>
      <c r="Q33" s="11"/>
      <c r="R33" s="10" t="s">
        <v>37</v>
      </c>
      <c r="S33" s="10" t="s">
        <v>37</v>
      </c>
      <c r="T33" s="10" t="s">
        <v>37</v>
      </c>
      <c r="U33" s="10" t="s">
        <v>37</v>
      </c>
      <c r="V33" s="10" t="s">
        <v>37</v>
      </c>
      <c r="W33" s="10" t="s">
        <v>37</v>
      </c>
      <c r="X33" s="11"/>
      <c r="Y33" s="10" t="s">
        <v>37</v>
      </c>
      <c r="Z33" s="10" t="s">
        <v>37</v>
      </c>
      <c r="AA33" s="10" t="s">
        <v>37</v>
      </c>
      <c r="AB33" s="10" t="s">
        <v>37</v>
      </c>
      <c r="AC33" s="10" t="s">
        <v>37</v>
      </c>
      <c r="AD33" s="10" t="s">
        <v>37</v>
      </c>
      <c r="AE33" s="11"/>
      <c r="AF33" s="10" t="s">
        <v>37</v>
      </c>
      <c r="AG33" s="10" t="s">
        <v>37</v>
      </c>
      <c r="AH33" s="10" t="s">
        <v>37</v>
      </c>
      <c r="AI33" s="10" t="s">
        <v>37</v>
      </c>
      <c r="AJ33" s="10" t="s">
        <v>37</v>
      </c>
      <c r="AK33" s="1">
        <f t="shared" si="22"/>
        <v>27</v>
      </c>
      <c r="AL33" s="14">
        <f t="shared" si="23"/>
        <v>100</v>
      </c>
    </row>
    <row r="34" spans="3:38" ht="15.75" x14ac:dyDescent="0.25">
      <c r="C34" s="1">
        <v>779</v>
      </c>
      <c r="D34" s="1">
        <v>24</v>
      </c>
      <c r="E34" s="1" t="s">
        <v>26</v>
      </c>
      <c r="F34" s="10" t="s">
        <v>37</v>
      </c>
      <c r="G34" s="10" t="s">
        <v>37</v>
      </c>
      <c r="H34" s="10" t="s">
        <v>37</v>
      </c>
      <c r="I34" s="10" t="s">
        <v>37</v>
      </c>
      <c r="J34" s="11"/>
      <c r="K34" s="10" t="s">
        <v>37</v>
      </c>
      <c r="L34" s="10" t="s">
        <v>37</v>
      </c>
      <c r="M34" s="10" t="s">
        <v>37</v>
      </c>
      <c r="N34" s="10" t="s">
        <v>37</v>
      </c>
      <c r="O34" s="10" t="s">
        <v>37</v>
      </c>
      <c r="P34" s="10" t="s">
        <v>37</v>
      </c>
      <c r="Q34" s="11"/>
      <c r="R34" s="10" t="s">
        <v>37</v>
      </c>
      <c r="S34" s="10" t="s">
        <v>37</v>
      </c>
      <c r="T34" s="10" t="s">
        <v>37</v>
      </c>
      <c r="U34" s="10" t="s">
        <v>37</v>
      </c>
      <c r="V34" s="10" t="s">
        <v>37</v>
      </c>
      <c r="W34" s="10" t="s">
        <v>37</v>
      </c>
      <c r="X34" s="11"/>
      <c r="Y34" s="10" t="s">
        <v>37</v>
      </c>
      <c r="Z34" s="10" t="s">
        <v>37</v>
      </c>
      <c r="AA34" s="10" t="s">
        <v>37</v>
      </c>
      <c r="AB34" s="10" t="s">
        <v>37</v>
      </c>
      <c r="AC34" s="10" t="s">
        <v>37</v>
      </c>
      <c r="AD34" s="10" t="s">
        <v>37</v>
      </c>
      <c r="AE34" s="11"/>
      <c r="AF34" s="10" t="s">
        <v>37</v>
      </c>
      <c r="AG34" s="10" t="s">
        <v>37</v>
      </c>
      <c r="AH34" s="10" t="s">
        <v>37</v>
      </c>
      <c r="AI34" s="10" t="s">
        <v>37</v>
      </c>
      <c r="AJ34" s="10" t="s">
        <v>37</v>
      </c>
      <c r="AK34" s="1">
        <f t="shared" si="22"/>
        <v>27</v>
      </c>
      <c r="AL34" s="14">
        <f t="shared" si="23"/>
        <v>100</v>
      </c>
    </row>
    <row r="35" spans="3:38" ht="15.75" x14ac:dyDescent="0.25">
      <c r="C35" s="1">
        <v>780</v>
      </c>
      <c r="D35" s="1">
        <v>25</v>
      </c>
      <c r="E35" s="1" t="s">
        <v>27</v>
      </c>
      <c r="F35" s="10" t="s">
        <v>37</v>
      </c>
      <c r="G35" s="10" t="s">
        <v>37</v>
      </c>
      <c r="H35" s="10" t="s">
        <v>37</v>
      </c>
      <c r="I35" s="10" t="s">
        <v>37</v>
      </c>
      <c r="J35" s="11"/>
      <c r="K35" s="10" t="s">
        <v>37</v>
      </c>
      <c r="L35" s="10" t="s">
        <v>37</v>
      </c>
      <c r="M35" s="10" t="s">
        <v>37</v>
      </c>
      <c r="N35" s="10" t="s">
        <v>37</v>
      </c>
      <c r="O35" s="10" t="s">
        <v>37</v>
      </c>
      <c r="P35" s="10" t="s">
        <v>37</v>
      </c>
      <c r="Q35" s="11"/>
      <c r="R35" s="10" t="s">
        <v>37</v>
      </c>
      <c r="S35" s="10" t="s">
        <v>37</v>
      </c>
      <c r="T35" s="10" t="s">
        <v>37</v>
      </c>
      <c r="U35" s="10" t="s">
        <v>37</v>
      </c>
      <c r="V35" s="10" t="s">
        <v>37</v>
      </c>
      <c r="W35" s="10" t="s">
        <v>37</v>
      </c>
      <c r="X35" s="11"/>
      <c r="Y35" s="10" t="s">
        <v>37</v>
      </c>
      <c r="Z35" s="10" t="s">
        <v>37</v>
      </c>
      <c r="AA35" s="10" t="s">
        <v>37</v>
      </c>
      <c r="AB35" s="10" t="s">
        <v>37</v>
      </c>
      <c r="AC35" s="10" t="s">
        <v>37</v>
      </c>
      <c r="AD35" s="10" t="s">
        <v>37</v>
      </c>
      <c r="AE35" s="11"/>
      <c r="AF35" s="10" t="s">
        <v>37</v>
      </c>
      <c r="AG35" s="10" t="s">
        <v>37</v>
      </c>
      <c r="AH35" s="10" t="s">
        <v>37</v>
      </c>
      <c r="AI35" s="10" t="s">
        <v>37</v>
      </c>
      <c r="AJ35" s="10" t="s">
        <v>37</v>
      </c>
      <c r="AK35" s="1">
        <f t="shared" si="22"/>
        <v>27</v>
      </c>
      <c r="AL35" s="14">
        <f t="shared" si="23"/>
        <v>100</v>
      </c>
    </row>
    <row r="36" spans="3:38" ht="15.75" x14ac:dyDescent="0.25">
      <c r="C36" s="1">
        <v>781</v>
      </c>
      <c r="D36" s="1">
        <v>26</v>
      </c>
      <c r="E36" s="1" t="s">
        <v>28</v>
      </c>
      <c r="F36" s="10" t="s">
        <v>37</v>
      </c>
      <c r="G36" s="10" t="s">
        <v>37</v>
      </c>
      <c r="H36" s="10" t="s">
        <v>37</v>
      </c>
      <c r="I36" s="10" t="s">
        <v>37</v>
      </c>
      <c r="J36" s="11"/>
      <c r="K36" s="10" t="s">
        <v>37</v>
      </c>
      <c r="L36" s="10" t="s">
        <v>37</v>
      </c>
      <c r="M36" s="10" t="s">
        <v>37</v>
      </c>
      <c r="N36" s="10" t="s">
        <v>37</v>
      </c>
      <c r="O36" s="10" t="s">
        <v>37</v>
      </c>
      <c r="P36" s="10" t="s">
        <v>37</v>
      </c>
      <c r="Q36" s="11"/>
      <c r="R36" s="10" t="s">
        <v>37</v>
      </c>
      <c r="S36" s="10" t="s">
        <v>37</v>
      </c>
      <c r="T36" s="10" t="s">
        <v>37</v>
      </c>
      <c r="U36" s="10" t="s">
        <v>37</v>
      </c>
      <c r="V36" s="10" t="s">
        <v>37</v>
      </c>
      <c r="W36" s="10" t="s">
        <v>37</v>
      </c>
      <c r="X36" s="11"/>
      <c r="Y36" s="10" t="s">
        <v>37</v>
      </c>
      <c r="Z36" s="10" t="s">
        <v>37</v>
      </c>
      <c r="AA36" s="10" t="s">
        <v>37</v>
      </c>
      <c r="AB36" s="10" t="s">
        <v>37</v>
      </c>
      <c r="AC36" s="10" t="s">
        <v>37</v>
      </c>
      <c r="AD36" s="10" t="s">
        <v>37</v>
      </c>
      <c r="AE36" s="11"/>
      <c r="AF36" s="10" t="s">
        <v>37</v>
      </c>
      <c r="AG36" s="10" t="s">
        <v>37</v>
      </c>
      <c r="AH36" s="10" t="s">
        <v>37</v>
      </c>
      <c r="AI36" s="10" t="s">
        <v>37</v>
      </c>
      <c r="AJ36" s="10" t="s">
        <v>37</v>
      </c>
      <c r="AK36" s="1">
        <f t="shared" si="22"/>
        <v>27</v>
      </c>
      <c r="AL36" s="14">
        <f t="shared" si="23"/>
        <v>100</v>
      </c>
    </row>
    <row r="37" spans="3:38" ht="15.75" x14ac:dyDescent="0.25">
      <c r="C37" s="1">
        <v>782</v>
      </c>
      <c r="D37" s="1">
        <v>27</v>
      </c>
      <c r="E37" s="1" t="s">
        <v>29</v>
      </c>
      <c r="F37" s="10" t="s">
        <v>37</v>
      </c>
      <c r="G37" s="10" t="s">
        <v>37</v>
      </c>
      <c r="H37" s="10" t="s">
        <v>37</v>
      </c>
      <c r="I37" s="10" t="s">
        <v>37</v>
      </c>
      <c r="J37" s="11"/>
      <c r="K37" s="10" t="s">
        <v>37</v>
      </c>
      <c r="L37" s="10" t="s">
        <v>37</v>
      </c>
      <c r="M37" s="10" t="s">
        <v>37</v>
      </c>
      <c r="N37" s="10" t="s">
        <v>37</v>
      </c>
      <c r="O37" s="10" t="s">
        <v>37</v>
      </c>
      <c r="P37" s="10" t="s">
        <v>37</v>
      </c>
      <c r="Q37" s="11"/>
      <c r="R37" s="10" t="s">
        <v>37</v>
      </c>
      <c r="S37" s="10" t="s">
        <v>37</v>
      </c>
      <c r="T37" s="10" t="s">
        <v>37</v>
      </c>
      <c r="U37" s="10" t="s">
        <v>37</v>
      </c>
      <c r="V37" s="10" t="s">
        <v>37</v>
      </c>
      <c r="W37" s="10" t="s">
        <v>37</v>
      </c>
      <c r="X37" s="11"/>
      <c r="Y37" s="10" t="s">
        <v>37</v>
      </c>
      <c r="Z37" s="10" t="s">
        <v>37</v>
      </c>
      <c r="AA37" s="10" t="s">
        <v>37</v>
      </c>
      <c r="AB37" s="10" t="s">
        <v>37</v>
      </c>
      <c r="AC37" s="10" t="s">
        <v>37</v>
      </c>
      <c r="AD37" s="10" t="s">
        <v>37</v>
      </c>
      <c r="AE37" s="11"/>
      <c r="AF37" s="10" t="s">
        <v>37</v>
      </c>
      <c r="AG37" s="10" t="s">
        <v>37</v>
      </c>
      <c r="AH37" s="10" t="s">
        <v>37</v>
      </c>
      <c r="AI37" s="10" t="s">
        <v>37</v>
      </c>
      <c r="AJ37" s="10" t="s">
        <v>37</v>
      </c>
      <c r="AK37" s="1">
        <f t="shared" si="22"/>
        <v>27</v>
      </c>
      <c r="AL37" s="14">
        <f t="shared" si="23"/>
        <v>100</v>
      </c>
    </row>
    <row r="38" spans="3:38" ht="15.75" x14ac:dyDescent="0.25">
      <c r="C38" s="1">
        <v>783</v>
      </c>
      <c r="D38" s="1">
        <v>28</v>
      </c>
      <c r="E38" s="1" t="s">
        <v>30</v>
      </c>
      <c r="F38" s="10" t="s">
        <v>37</v>
      </c>
      <c r="G38" s="10" t="s">
        <v>37</v>
      </c>
      <c r="H38" s="10" t="s">
        <v>37</v>
      </c>
      <c r="I38" s="10" t="s">
        <v>37</v>
      </c>
      <c r="J38" s="11"/>
      <c r="K38" s="10" t="s">
        <v>37</v>
      </c>
      <c r="L38" s="10" t="s">
        <v>37</v>
      </c>
      <c r="M38" s="10" t="s">
        <v>37</v>
      </c>
      <c r="N38" s="10" t="s">
        <v>37</v>
      </c>
      <c r="O38" s="10" t="s">
        <v>37</v>
      </c>
      <c r="P38" s="10" t="s">
        <v>37</v>
      </c>
      <c r="Q38" s="11"/>
      <c r="R38" s="10" t="s">
        <v>37</v>
      </c>
      <c r="S38" s="10" t="s">
        <v>37</v>
      </c>
      <c r="T38" s="10" t="s">
        <v>37</v>
      </c>
      <c r="U38" s="10" t="s">
        <v>37</v>
      </c>
      <c r="V38" s="10" t="s">
        <v>37</v>
      </c>
      <c r="W38" s="10" t="s">
        <v>37</v>
      </c>
      <c r="X38" s="11"/>
      <c r="Y38" s="10" t="s">
        <v>37</v>
      </c>
      <c r="Z38" s="10" t="s">
        <v>37</v>
      </c>
      <c r="AA38" s="10" t="s">
        <v>37</v>
      </c>
      <c r="AB38" s="10" t="s">
        <v>37</v>
      </c>
      <c r="AC38" s="10" t="s">
        <v>37</v>
      </c>
      <c r="AD38" s="10" t="s">
        <v>37</v>
      </c>
      <c r="AE38" s="11"/>
      <c r="AF38" s="10" t="s">
        <v>37</v>
      </c>
      <c r="AG38" s="10" t="s">
        <v>37</v>
      </c>
      <c r="AH38" s="10" t="s">
        <v>37</v>
      </c>
      <c r="AI38" s="10" t="s">
        <v>37</v>
      </c>
      <c r="AJ38" s="10" t="s">
        <v>37</v>
      </c>
      <c r="AK38" s="1">
        <f t="shared" si="22"/>
        <v>27</v>
      </c>
      <c r="AL38" s="14">
        <f t="shared" si="23"/>
        <v>100</v>
      </c>
    </row>
    <row r="39" spans="3:38" ht="15.75" x14ac:dyDescent="0.25">
      <c r="C39" s="1">
        <v>784</v>
      </c>
      <c r="D39" s="1">
        <v>29</v>
      </c>
      <c r="E39" s="1" t="s">
        <v>31</v>
      </c>
      <c r="F39" s="10" t="s">
        <v>37</v>
      </c>
      <c r="G39" s="10" t="s">
        <v>37</v>
      </c>
      <c r="H39" s="10" t="s">
        <v>37</v>
      </c>
      <c r="I39" s="10" t="s">
        <v>37</v>
      </c>
      <c r="J39" s="11"/>
      <c r="K39" s="10" t="s">
        <v>37</v>
      </c>
      <c r="L39" s="10" t="s">
        <v>37</v>
      </c>
      <c r="M39" s="10" t="s">
        <v>37</v>
      </c>
      <c r="N39" s="10" t="s">
        <v>37</v>
      </c>
      <c r="O39" s="10" t="s">
        <v>37</v>
      </c>
      <c r="P39" s="10" t="s">
        <v>37</v>
      </c>
      <c r="Q39" s="11"/>
      <c r="R39" s="10" t="s">
        <v>37</v>
      </c>
      <c r="S39" s="10" t="s">
        <v>37</v>
      </c>
      <c r="T39" s="10" t="s">
        <v>37</v>
      </c>
      <c r="U39" s="10" t="s">
        <v>37</v>
      </c>
      <c r="V39" s="10" t="s">
        <v>37</v>
      </c>
      <c r="W39" s="10" t="s">
        <v>37</v>
      </c>
      <c r="X39" s="11"/>
      <c r="Y39" s="10" t="s">
        <v>37</v>
      </c>
      <c r="Z39" s="10" t="s">
        <v>37</v>
      </c>
      <c r="AA39" s="10" t="s">
        <v>37</v>
      </c>
      <c r="AB39" s="10" t="s">
        <v>37</v>
      </c>
      <c r="AC39" s="10" t="s">
        <v>37</v>
      </c>
      <c r="AD39" s="10" t="s">
        <v>37</v>
      </c>
      <c r="AE39" s="11"/>
      <c r="AF39" s="10" t="s">
        <v>37</v>
      </c>
      <c r="AG39" s="10" t="s">
        <v>37</v>
      </c>
      <c r="AH39" s="10" t="s">
        <v>37</v>
      </c>
      <c r="AI39" s="10" t="s">
        <v>37</v>
      </c>
      <c r="AJ39" s="10" t="s">
        <v>37</v>
      </c>
      <c r="AK39" s="1">
        <f t="shared" si="22"/>
        <v>27</v>
      </c>
      <c r="AL39" s="14">
        <f t="shared" si="23"/>
        <v>100</v>
      </c>
    </row>
    <row r="40" spans="3:38" ht="15.75" x14ac:dyDescent="0.25">
      <c r="C40" s="1">
        <v>785</v>
      </c>
      <c r="D40" s="1">
        <v>30</v>
      </c>
      <c r="E40" s="1" t="s">
        <v>32</v>
      </c>
      <c r="F40" s="10" t="s">
        <v>39</v>
      </c>
      <c r="G40" s="10" t="s">
        <v>39</v>
      </c>
      <c r="H40" s="10" t="s">
        <v>39</v>
      </c>
      <c r="I40" s="10" t="s">
        <v>39</v>
      </c>
      <c r="J40" s="11"/>
      <c r="K40" s="10" t="s">
        <v>37</v>
      </c>
      <c r="L40" s="10" t="s">
        <v>37</v>
      </c>
      <c r="M40" s="10" t="s">
        <v>37</v>
      </c>
      <c r="N40" s="10" t="s">
        <v>37</v>
      </c>
      <c r="O40" s="10" t="s">
        <v>37</v>
      </c>
      <c r="P40" s="10" t="s">
        <v>37</v>
      </c>
      <c r="Q40" s="11"/>
      <c r="R40" s="10" t="s">
        <v>39</v>
      </c>
      <c r="S40" s="10" t="s">
        <v>39</v>
      </c>
      <c r="T40" s="10" t="s">
        <v>39</v>
      </c>
      <c r="U40" s="10" t="s">
        <v>37</v>
      </c>
      <c r="V40" s="10" t="s">
        <v>37</v>
      </c>
      <c r="W40" s="10" t="s">
        <v>37</v>
      </c>
      <c r="X40" s="11"/>
      <c r="Y40" s="10" t="s">
        <v>37</v>
      </c>
      <c r="Z40" s="10" t="s">
        <v>37</v>
      </c>
      <c r="AA40" s="10" t="s">
        <v>37</v>
      </c>
      <c r="AB40" s="10" t="s">
        <v>37</v>
      </c>
      <c r="AC40" s="10" t="s">
        <v>37</v>
      </c>
      <c r="AD40" s="10" t="s">
        <v>37</v>
      </c>
      <c r="AE40" s="11"/>
      <c r="AF40" s="10" t="s">
        <v>37</v>
      </c>
      <c r="AG40" s="10" t="s">
        <v>37</v>
      </c>
      <c r="AH40" s="10" t="s">
        <v>37</v>
      </c>
      <c r="AI40" s="10" t="s">
        <v>37</v>
      </c>
      <c r="AJ40" s="10" t="s">
        <v>37</v>
      </c>
      <c r="AK40" s="1">
        <f>COUNTIF(G40:AJ40, "P")</f>
        <v>20</v>
      </c>
      <c r="AL40" s="14">
        <f t="shared" si="23"/>
        <v>74.074074074074076</v>
      </c>
    </row>
    <row r="41" spans="3:38" ht="15.75" x14ac:dyDescent="0.25">
      <c r="C41" s="1"/>
      <c r="D41" s="1"/>
      <c r="E41" s="1"/>
      <c r="AF41" s="10"/>
      <c r="AG41" s="10"/>
      <c r="AH41" s="10"/>
      <c r="AI41" s="10"/>
      <c r="AJ41" s="10"/>
    </row>
    <row r="42" spans="3:38" ht="19.5" x14ac:dyDescent="0.35">
      <c r="C42" s="1"/>
      <c r="D42" s="1"/>
      <c r="E42" s="1"/>
      <c r="AF42" s="10"/>
      <c r="AG42" s="10"/>
      <c r="AH42" s="10"/>
      <c r="AI42" s="10"/>
      <c r="AJ42" s="10"/>
      <c r="AL42" s="17" t="s">
        <v>42</v>
      </c>
    </row>
    <row r="43" spans="3:38" x14ac:dyDescent="0.25">
      <c r="C43" s="1"/>
      <c r="D43" s="1"/>
      <c r="E43" s="1"/>
      <c r="AL43" s="1"/>
    </row>
    <row r="44" spans="3:38" x14ac:dyDescent="0.25">
      <c r="AL44" s="14">
        <f>E62*100/810</f>
        <v>96.913580246913583</v>
      </c>
    </row>
    <row r="46" spans="3:38" x14ac:dyDescent="0.25">
      <c r="AL46" s="1"/>
    </row>
    <row r="62" spans="5:5" x14ac:dyDescent="0.25">
      <c r="E62" s="14">
        <f>SUM(AK11:AK40)</f>
        <v>785</v>
      </c>
    </row>
    <row r="63" spans="5:5" x14ac:dyDescent="0.25">
      <c r="E63" s="2">
        <f>DATE(2025, 1, 31)</f>
        <v>45688</v>
      </c>
    </row>
  </sheetData>
  <mergeCells count="4">
    <mergeCell ref="G1:L3"/>
    <mergeCell ref="G5:L7"/>
    <mergeCell ref="AK9:AK10"/>
    <mergeCell ref="AL9:AL10"/>
  </mergeCells>
  <conditionalFormatting sqref="F25:AE32 F6:F7 M5:AC7 G5 E63 F9:AJ10 F11:AC24 G11:AJ11 AF11:AJ23 Y11:AD40 R11:W40 K11:P40 F11:I39 I40">
    <cfRule type="cellIs" dxfId="305" priority="32" operator="equal">
      <formula>"Leave"</formula>
    </cfRule>
    <cfRule type="cellIs" dxfId="304" priority="33" operator="equal">
      <formula>"Absant"</formula>
    </cfRule>
    <cfRule type="cellIs" dxfId="303" priority="34" operator="equal">
      <formula>"Present"</formula>
    </cfRule>
  </conditionalFormatting>
  <conditionalFormatting sqref="AC19:AD40 Y21:Y36 F9:AJ23 W16:W31 F24:AE39 K11:P31 F13:I26 J40:AE40">
    <cfRule type="expression" dxfId="302" priority="28">
      <formula>F$9="Sun"</formula>
    </cfRule>
  </conditionalFormatting>
  <conditionalFormatting sqref="F9:AJ9">
    <cfRule type="cellIs" dxfId="301" priority="27" operator="equal">
      <formula>"Sun"</formula>
    </cfRule>
  </conditionalFormatting>
  <conditionalFormatting sqref="AC19:AD40 Y21:Y36 F11:AJ23 W16:W31 F24:AE39 K11:P31 F13:I26 I40:AE40">
    <cfRule type="cellIs" dxfId="300" priority="21" operator="equal">
      <formula>"L"</formula>
    </cfRule>
    <cfRule type="cellIs" dxfId="299" priority="22" operator="equal">
      <formula>"L"</formula>
    </cfRule>
    <cfRule type="cellIs" dxfId="298" priority="23" operator="equal">
      <formula>"L"</formula>
    </cfRule>
    <cfRule type="cellIs" dxfId="297" priority="24" operator="equal">
      <formula>"A"</formula>
    </cfRule>
    <cfRule type="cellIs" dxfId="296" priority="25" operator="equal">
      <formula>"P"</formula>
    </cfRule>
    <cfRule type="cellIs" dxfId="295" priority="26" operator="equal">
      <formula>"P"</formula>
    </cfRule>
  </conditionalFormatting>
  <conditionalFormatting sqref="AF24:AJ40">
    <cfRule type="cellIs" dxfId="294" priority="18" operator="equal">
      <formula>"Leave"</formula>
    </cfRule>
    <cfRule type="cellIs" dxfId="293" priority="19" operator="equal">
      <formula>"Absant"</formula>
    </cfRule>
    <cfRule type="cellIs" dxfId="292" priority="20" operator="equal">
      <formula>"Present"</formula>
    </cfRule>
  </conditionalFormatting>
  <conditionalFormatting sqref="AF24:AJ40">
    <cfRule type="expression" dxfId="291" priority="17">
      <formula>AF$9="Sun"</formula>
    </cfRule>
  </conditionalFormatting>
  <conditionalFormatting sqref="AF24:AJ40">
    <cfRule type="cellIs" dxfId="290" priority="11" operator="equal">
      <formula>"L"</formula>
    </cfRule>
    <cfRule type="cellIs" dxfId="289" priority="12" operator="equal">
      <formula>"L"</formula>
    </cfRule>
    <cfRule type="cellIs" dxfId="288" priority="13" operator="equal">
      <formula>"L"</formula>
    </cfRule>
    <cfRule type="cellIs" dxfId="287" priority="14" operator="equal">
      <formula>"A"</formula>
    </cfRule>
    <cfRule type="cellIs" dxfId="286" priority="15" operator="equal">
      <formula>"P"</formula>
    </cfRule>
    <cfRule type="cellIs" dxfId="285" priority="16" operator="equal">
      <formula>"P"</formula>
    </cfRule>
  </conditionalFormatting>
  <conditionalFormatting sqref="I40">
    <cfRule type="expression" dxfId="284" priority="69">
      <formula>F$9="Sun"</formula>
    </cfRule>
  </conditionalFormatting>
  <conditionalFormatting sqref="F40:H40">
    <cfRule type="cellIs" dxfId="283" priority="7" operator="equal">
      <formula>"Leave"</formula>
    </cfRule>
    <cfRule type="cellIs" dxfId="282" priority="8" operator="equal">
      <formula>"Absant"</formula>
    </cfRule>
    <cfRule type="cellIs" dxfId="281" priority="9" operator="equal">
      <formula>"Present"</formula>
    </cfRule>
  </conditionalFormatting>
  <conditionalFormatting sqref="F40:H40">
    <cfRule type="cellIs" dxfId="280" priority="1" operator="equal">
      <formula>"L"</formula>
    </cfRule>
    <cfRule type="cellIs" dxfId="279" priority="2" operator="equal">
      <formula>"L"</formula>
    </cfRule>
    <cfRule type="cellIs" dxfId="278" priority="3" operator="equal">
      <formula>"L"</formula>
    </cfRule>
    <cfRule type="cellIs" dxfId="277" priority="4" operator="equal">
      <formula>"A"</formula>
    </cfRule>
    <cfRule type="cellIs" dxfId="276" priority="5" operator="equal">
      <formula>"P"</formula>
    </cfRule>
    <cfRule type="cellIs" dxfId="275" priority="6" operator="equal">
      <formula>"P"</formula>
    </cfRule>
  </conditionalFormatting>
  <conditionalFormatting sqref="F40:H40">
    <cfRule type="expression" dxfId="274" priority="10">
      <formula>C$9="Sun"</formula>
    </cfRule>
  </conditionalFormatting>
  <dataValidations count="1">
    <dataValidation type="list" allowBlank="1" showInputMessage="1" showErrorMessage="1" sqref="AF11:AJ42 F11:AE40">
      <formula1>"P, A, 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I64"/>
  <sheetViews>
    <sheetView zoomScaleNormal="100" workbookViewId="0">
      <selection activeCell="C6" sqref="C6"/>
    </sheetView>
  </sheetViews>
  <sheetFormatPr defaultRowHeight="14.25" x14ac:dyDescent="0.2"/>
  <cols>
    <col min="1" max="1" width="9.140625" style="1"/>
    <col min="2" max="2" width="5.28515625" style="1" customWidth="1"/>
    <col min="3" max="3" width="16.7109375" style="1" bestFit="1" customWidth="1"/>
    <col min="4" max="4" width="11.5703125" style="1" bestFit="1" customWidth="1"/>
    <col min="5" max="5" width="21.42578125" style="1" bestFit="1" customWidth="1"/>
    <col min="6" max="6" width="12.28515625" style="1" bestFit="1" customWidth="1"/>
    <col min="7" max="11" width="11.28515625" style="1" bestFit="1" customWidth="1"/>
    <col min="12" max="12" width="11.28515625" style="1" customWidth="1"/>
    <col min="13" max="33" width="11.28515625" style="1" bestFit="1" customWidth="1"/>
    <col min="34" max="34" width="32" style="1" bestFit="1" customWidth="1"/>
    <col min="35" max="35" width="30.5703125" style="1" bestFit="1" customWidth="1"/>
    <col min="36" max="36" width="10.7109375" style="1" customWidth="1"/>
    <col min="37" max="37" width="12.28515625" style="1" customWidth="1"/>
    <col min="38" max="38" width="9.28515625" style="1" bestFit="1" customWidth="1"/>
    <col min="39" max="16384" width="9.140625" style="1"/>
  </cols>
  <sheetData>
    <row r="1" spans="2:35" x14ac:dyDescent="0.2">
      <c r="G1" s="18" t="s">
        <v>36</v>
      </c>
      <c r="H1" s="18"/>
      <c r="I1" s="18"/>
      <c r="J1" s="18"/>
      <c r="K1" s="18"/>
      <c r="L1" s="18"/>
    </row>
    <row r="2" spans="2:35" x14ac:dyDescent="0.2">
      <c r="G2" s="18"/>
      <c r="H2" s="18"/>
      <c r="I2" s="18"/>
      <c r="J2" s="18"/>
      <c r="K2" s="18"/>
      <c r="L2" s="18"/>
    </row>
    <row r="3" spans="2:35" x14ac:dyDescent="0.2">
      <c r="G3" s="18"/>
      <c r="H3" s="18"/>
      <c r="I3" s="18"/>
      <c r="J3" s="18"/>
      <c r="K3" s="18"/>
      <c r="L3" s="18"/>
    </row>
    <row r="4" spans="2:35" x14ac:dyDescent="0.2">
      <c r="B4" s="8"/>
      <c r="C4" s="1" t="s">
        <v>33</v>
      </c>
    </row>
    <row r="5" spans="2:35" ht="15" x14ac:dyDescent="0.25">
      <c r="B5" s="12"/>
      <c r="C5" s="1" t="s">
        <v>34</v>
      </c>
      <c r="G5" s="21" t="s">
        <v>43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2:35" ht="15" x14ac:dyDescent="0.25">
      <c r="B6" s="13"/>
      <c r="C6" s="1" t="s">
        <v>35</v>
      </c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35" ht="15" x14ac:dyDescent="0.25"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E7" s="2"/>
      <c r="AF7" s="2"/>
      <c r="AG7" s="2"/>
      <c r="AH7" s="2"/>
    </row>
    <row r="9" spans="2:35" x14ac:dyDescent="0.2">
      <c r="F9" s="4" t="str">
        <f>TEXT(F10, "ddd")</f>
        <v>Sat</v>
      </c>
      <c r="G9" s="4" t="str">
        <f>TEXT(G10, "ddd")</f>
        <v>Sun</v>
      </c>
      <c r="H9" s="4" t="str">
        <f t="shared" ref="H9:AG9" si="0">TEXT(H10, "ddd")</f>
        <v>Mon</v>
      </c>
      <c r="I9" s="4" t="str">
        <f t="shared" si="0"/>
        <v>Tue</v>
      </c>
      <c r="J9" s="4" t="str">
        <f t="shared" si="0"/>
        <v>Wed</v>
      </c>
      <c r="K9" s="4" t="str">
        <f t="shared" si="0"/>
        <v>Thu</v>
      </c>
      <c r="L9" s="4" t="str">
        <f t="shared" si="0"/>
        <v>Fri</v>
      </c>
      <c r="M9" s="4" t="str">
        <f t="shared" si="0"/>
        <v>Sat</v>
      </c>
      <c r="N9" s="4" t="str">
        <f t="shared" si="0"/>
        <v>Sun</v>
      </c>
      <c r="O9" s="4" t="str">
        <f t="shared" si="0"/>
        <v>Mon</v>
      </c>
      <c r="P9" s="4" t="str">
        <f t="shared" si="0"/>
        <v>Tue</v>
      </c>
      <c r="Q9" s="4" t="str">
        <f t="shared" si="0"/>
        <v>Wed</v>
      </c>
      <c r="R9" s="4" t="str">
        <f t="shared" si="0"/>
        <v>Thu</v>
      </c>
      <c r="S9" s="4" t="str">
        <f t="shared" si="0"/>
        <v>Fri</v>
      </c>
      <c r="T9" s="4" t="str">
        <f t="shared" si="0"/>
        <v>Sat</v>
      </c>
      <c r="U9" s="4" t="str">
        <f t="shared" si="0"/>
        <v>Sun</v>
      </c>
      <c r="V9" s="4" t="str">
        <f t="shared" si="0"/>
        <v>Mon</v>
      </c>
      <c r="W9" s="4" t="str">
        <f t="shared" si="0"/>
        <v>Tue</v>
      </c>
      <c r="X9" s="4" t="str">
        <f t="shared" si="0"/>
        <v>Wed</v>
      </c>
      <c r="Y9" s="4" t="str">
        <f t="shared" si="0"/>
        <v>Thu</v>
      </c>
      <c r="Z9" s="4" t="str">
        <f t="shared" si="0"/>
        <v>Fri</v>
      </c>
      <c r="AA9" s="4" t="str">
        <f t="shared" si="0"/>
        <v>Sat</v>
      </c>
      <c r="AB9" s="4" t="str">
        <f t="shared" si="0"/>
        <v>Sun</v>
      </c>
      <c r="AC9" s="4" t="str">
        <f t="shared" si="0"/>
        <v>Mon</v>
      </c>
      <c r="AD9" s="4" t="str">
        <f t="shared" si="0"/>
        <v>Tue</v>
      </c>
      <c r="AE9" s="4" t="str">
        <f t="shared" si="0"/>
        <v>Wed</v>
      </c>
      <c r="AF9" s="4" t="str">
        <f t="shared" si="0"/>
        <v>Thu</v>
      </c>
      <c r="AG9" s="4" t="str">
        <f t="shared" si="0"/>
        <v>Fri</v>
      </c>
      <c r="AH9" s="20" t="s">
        <v>40</v>
      </c>
      <c r="AI9" s="20" t="s">
        <v>41</v>
      </c>
    </row>
    <row r="10" spans="2:35" ht="15.75" x14ac:dyDescent="0.25">
      <c r="C10" s="16" t="s">
        <v>0</v>
      </c>
      <c r="D10" s="16" t="s">
        <v>2</v>
      </c>
      <c r="E10" s="16" t="s">
        <v>1</v>
      </c>
      <c r="F10" s="3">
        <f>DATE(2025, 2, 1)</f>
        <v>45689</v>
      </c>
      <c r="G10" s="3">
        <f t="shared" ref="G10:AG10" si="1">IF(F10&lt;$E$64, F10+1, "")</f>
        <v>45690</v>
      </c>
      <c r="H10" s="3">
        <f t="shared" si="1"/>
        <v>45691</v>
      </c>
      <c r="I10" s="3">
        <f t="shared" si="1"/>
        <v>45692</v>
      </c>
      <c r="J10" s="3">
        <f t="shared" si="1"/>
        <v>45693</v>
      </c>
      <c r="K10" s="3">
        <f t="shared" si="1"/>
        <v>45694</v>
      </c>
      <c r="L10" s="3">
        <f t="shared" si="1"/>
        <v>45695</v>
      </c>
      <c r="M10" s="3">
        <f t="shared" si="1"/>
        <v>45696</v>
      </c>
      <c r="N10" s="3">
        <f t="shared" si="1"/>
        <v>45697</v>
      </c>
      <c r="O10" s="3">
        <f t="shared" si="1"/>
        <v>45698</v>
      </c>
      <c r="P10" s="3">
        <f t="shared" si="1"/>
        <v>45699</v>
      </c>
      <c r="Q10" s="3">
        <f t="shared" si="1"/>
        <v>45700</v>
      </c>
      <c r="R10" s="3">
        <f t="shared" si="1"/>
        <v>45701</v>
      </c>
      <c r="S10" s="3">
        <f t="shared" si="1"/>
        <v>45702</v>
      </c>
      <c r="T10" s="3">
        <f t="shared" si="1"/>
        <v>45703</v>
      </c>
      <c r="U10" s="3">
        <f t="shared" si="1"/>
        <v>45704</v>
      </c>
      <c r="V10" s="3">
        <f t="shared" si="1"/>
        <v>45705</v>
      </c>
      <c r="W10" s="3">
        <f t="shared" si="1"/>
        <v>45706</v>
      </c>
      <c r="X10" s="3">
        <f t="shared" si="1"/>
        <v>45707</v>
      </c>
      <c r="Y10" s="3">
        <f t="shared" si="1"/>
        <v>45708</v>
      </c>
      <c r="Z10" s="3">
        <f t="shared" si="1"/>
        <v>45709</v>
      </c>
      <c r="AA10" s="3">
        <f t="shared" si="1"/>
        <v>45710</v>
      </c>
      <c r="AB10" s="3">
        <f t="shared" si="1"/>
        <v>45711</v>
      </c>
      <c r="AC10" s="3">
        <f t="shared" si="1"/>
        <v>45712</v>
      </c>
      <c r="AD10" s="3">
        <f t="shared" si="1"/>
        <v>45713</v>
      </c>
      <c r="AE10" s="3">
        <f t="shared" si="1"/>
        <v>45714</v>
      </c>
      <c r="AF10" s="3">
        <f t="shared" si="1"/>
        <v>45715</v>
      </c>
      <c r="AG10" s="3">
        <f t="shared" si="1"/>
        <v>45716</v>
      </c>
      <c r="AH10" s="20"/>
      <c r="AI10" s="20"/>
    </row>
    <row r="11" spans="2:35" ht="15.75" x14ac:dyDescent="0.25"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">
        <f t="shared" ref="AH11:AH40" si="2">COUNTIF(F11:AG11, "P")</f>
        <v>0</v>
      </c>
      <c r="AI11" s="14">
        <f>AH11*100/24</f>
        <v>0</v>
      </c>
    </row>
    <row r="12" spans="2:35" ht="15.75" x14ac:dyDescent="0.25"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">
        <f t="shared" si="2"/>
        <v>0</v>
      </c>
      <c r="AI12" s="14">
        <f t="shared" ref="AI12:AI40" si="3">AH12*100/24</f>
        <v>0</v>
      </c>
    </row>
    <row r="13" spans="2:35" ht="15.75" x14ac:dyDescent="0.25"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">
        <f t="shared" si="2"/>
        <v>0</v>
      </c>
      <c r="AI13" s="14">
        <f t="shared" si="3"/>
        <v>0</v>
      </c>
    </row>
    <row r="14" spans="2:35" ht="15.75" x14ac:dyDescent="0.25"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">
        <f t="shared" si="2"/>
        <v>0</v>
      </c>
      <c r="AI14" s="14">
        <f t="shared" si="3"/>
        <v>0</v>
      </c>
    </row>
    <row r="15" spans="2:35" ht="15.75" x14ac:dyDescent="0.25"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">
        <f t="shared" si="2"/>
        <v>0</v>
      </c>
      <c r="AI15" s="14">
        <f t="shared" si="3"/>
        <v>0</v>
      </c>
    </row>
    <row r="16" spans="2:35" ht="15.75" x14ac:dyDescent="0.25"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">
        <f t="shared" si="2"/>
        <v>0</v>
      </c>
      <c r="AI16" s="14">
        <f t="shared" si="3"/>
        <v>0</v>
      </c>
    </row>
    <row r="17" spans="3:35" ht="15.75" x14ac:dyDescent="0.25"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">
        <f t="shared" si="2"/>
        <v>0</v>
      </c>
      <c r="AI17" s="14">
        <f t="shared" si="3"/>
        <v>0</v>
      </c>
    </row>
    <row r="18" spans="3:35" ht="15.75" x14ac:dyDescent="0.25"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">
        <f t="shared" si="2"/>
        <v>0</v>
      </c>
      <c r="AI18" s="14">
        <f t="shared" si="3"/>
        <v>0</v>
      </c>
    </row>
    <row r="19" spans="3:35" ht="15.75" x14ac:dyDescent="0.25"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">
        <f t="shared" si="2"/>
        <v>0</v>
      </c>
      <c r="AI19" s="14">
        <f t="shared" si="3"/>
        <v>0</v>
      </c>
    </row>
    <row r="20" spans="3:35" ht="15.75" x14ac:dyDescent="0.25"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">
        <f t="shared" si="2"/>
        <v>0</v>
      </c>
      <c r="AI20" s="14">
        <f t="shared" si="3"/>
        <v>0</v>
      </c>
    </row>
    <row r="21" spans="3:35" ht="15.75" x14ac:dyDescent="0.25"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">
        <f t="shared" si="2"/>
        <v>0</v>
      </c>
      <c r="AI21" s="14">
        <f t="shared" si="3"/>
        <v>0</v>
      </c>
    </row>
    <row r="22" spans="3:35" ht="15.75" x14ac:dyDescent="0.25"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">
        <f t="shared" si="2"/>
        <v>0</v>
      </c>
      <c r="AI22" s="14">
        <f t="shared" si="3"/>
        <v>0</v>
      </c>
    </row>
    <row r="23" spans="3:35" ht="15.75" x14ac:dyDescent="0.25"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">
        <f t="shared" si="2"/>
        <v>0</v>
      </c>
      <c r="AI23" s="14">
        <f t="shared" si="3"/>
        <v>0</v>
      </c>
    </row>
    <row r="24" spans="3:35" ht="15.75" x14ac:dyDescent="0.25"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">
        <f t="shared" si="2"/>
        <v>0</v>
      </c>
      <c r="AI24" s="14">
        <f t="shared" si="3"/>
        <v>0</v>
      </c>
    </row>
    <row r="25" spans="3:35" ht="15.75" x14ac:dyDescent="0.25"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">
        <f t="shared" si="2"/>
        <v>0</v>
      </c>
      <c r="AI25" s="14">
        <f t="shared" si="3"/>
        <v>0</v>
      </c>
    </row>
    <row r="26" spans="3:35" ht="15.75" x14ac:dyDescent="0.25"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">
        <f t="shared" si="2"/>
        <v>0</v>
      </c>
      <c r="AI26" s="14">
        <f t="shared" si="3"/>
        <v>0</v>
      </c>
    </row>
    <row r="27" spans="3:35" ht="15.75" x14ac:dyDescent="0.25"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">
        <f t="shared" si="2"/>
        <v>0</v>
      </c>
      <c r="AI27" s="14">
        <f t="shared" si="3"/>
        <v>0</v>
      </c>
    </row>
    <row r="28" spans="3:35" ht="15.75" x14ac:dyDescent="0.25"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">
        <f t="shared" si="2"/>
        <v>0</v>
      </c>
      <c r="AI28" s="14">
        <f t="shared" si="3"/>
        <v>0</v>
      </c>
    </row>
    <row r="29" spans="3:35" ht="15.75" x14ac:dyDescent="0.25"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">
        <f t="shared" si="2"/>
        <v>0</v>
      </c>
      <c r="AI29" s="14">
        <f t="shared" si="3"/>
        <v>0</v>
      </c>
    </row>
    <row r="30" spans="3:35" ht="15.75" x14ac:dyDescent="0.25"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">
        <f t="shared" si="2"/>
        <v>0</v>
      </c>
      <c r="AI30" s="14">
        <f t="shared" si="3"/>
        <v>0</v>
      </c>
    </row>
    <row r="31" spans="3:35" ht="15.75" x14ac:dyDescent="0.25"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">
        <f t="shared" si="2"/>
        <v>0</v>
      </c>
      <c r="AI31" s="14">
        <f t="shared" si="3"/>
        <v>0</v>
      </c>
    </row>
    <row r="32" spans="3:35" ht="15.75" x14ac:dyDescent="0.25"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">
        <f t="shared" si="2"/>
        <v>0</v>
      </c>
      <c r="AI32" s="14">
        <f t="shared" si="3"/>
        <v>0</v>
      </c>
    </row>
    <row r="33" spans="3:35" ht="15.75" x14ac:dyDescent="0.25"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">
        <f t="shared" si="2"/>
        <v>0</v>
      </c>
      <c r="AI33" s="14">
        <f t="shared" si="3"/>
        <v>0</v>
      </c>
    </row>
    <row r="34" spans="3:35" ht="15.75" x14ac:dyDescent="0.25"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">
        <f t="shared" si="2"/>
        <v>0</v>
      </c>
      <c r="AI34" s="14">
        <f t="shared" si="3"/>
        <v>0</v>
      </c>
    </row>
    <row r="35" spans="3:35" ht="15.75" x14ac:dyDescent="0.25"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">
        <f t="shared" si="2"/>
        <v>0</v>
      </c>
      <c r="AI35" s="14">
        <f t="shared" si="3"/>
        <v>0</v>
      </c>
    </row>
    <row r="36" spans="3:35" ht="15.75" x14ac:dyDescent="0.25"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">
        <f t="shared" si="2"/>
        <v>0</v>
      </c>
      <c r="AI36" s="14">
        <f t="shared" si="3"/>
        <v>0</v>
      </c>
    </row>
    <row r="37" spans="3:35" ht="15.75" x14ac:dyDescent="0.25"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">
        <f t="shared" si="2"/>
        <v>0</v>
      </c>
      <c r="AI37" s="14">
        <f t="shared" si="3"/>
        <v>0</v>
      </c>
    </row>
    <row r="38" spans="3:35" ht="15.75" x14ac:dyDescent="0.25"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">
        <f t="shared" si="2"/>
        <v>0</v>
      </c>
      <c r="AI38" s="14">
        <f t="shared" si="3"/>
        <v>0</v>
      </c>
    </row>
    <row r="39" spans="3:35" ht="15.75" x14ac:dyDescent="0.25"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">
        <f t="shared" si="2"/>
        <v>0</v>
      </c>
      <c r="AI39" s="14">
        <f t="shared" si="3"/>
        <v>0</v>
      </c>
    </row>
    <row r="40" spans="3:35" ht="15.75" x14ac:dyDescent="0.25"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">
        <f t="shared" si="2"/>
        <v>0</v>
      </c>
      <c r="AI40" s="14">
        <f t="shared" si="3"/>
        <v>0</v>
      </c>
    </row>
    <row r="42" spans="3:35" ht="19.5" x14ac:dyDescent="0.35">
      <c r="AI42" s="17" t="s">
        <v>42</v>
      </c>
    </row>
    <row r="44" spans="3:35" x14ac:dyDescent="0.2">
      <c r="AI44" s="14">
        <f>E63*100/720</f>
        <v>0</v>
      </c>
    </row>
    <row r="63" spans="5:5" x14ac:dyDescent="0.2">
      <c r="E63" s="1">
        <f>SUM(AH11:AH40)</f>
        <v>0</v>
      </c>
    </row>
    <row r="64" spans="5:5" x14ac:dyDescent="0.2">
      <c r="E64" s="2">
        <v>45716</v>
      </c>
    </row>
  </sheetData>
  <mergeCells count="4">
    <mergeCell ref="G1:L3"/>
    <mergeCell ref="G5:L7"/>
    <mergeCell ref="AH9:AH10"/>
    <mergeCell ref="AI9:AI10"/>
  </mergeCells>
  <conditionalFormatting sqref="F6:F7 M5:AC7 G5 F11:AB24 F33:H40 J33:O40 Q33:V40 X33:AC40 F25:AG32 F9:AG10 F12:F40 H11:M40 O11:T40 V11:AA40 AC11:AG40">
    <cfRule type="cellIs" dxfId="273" priority="13" operator="equal">
      <formula>"Leave"</formula>
    </cfRule>
    <cfRule type="cellIs" dxfId="272" priority="14" operator="equal">
      <formula>"Absant"</formula>
    </cfRule>
    <cfRule type="cellIs" dxfId="271" priority="15" operator="equal">
      <formula>"Present"</formula>
    </cfRule>
  </conditionalFormatting>
  <conditionalFormatting sqref="F9:AG10 G11:AG40">
    <cfRule type="expression" dxfId="270" priority="12">
      <formula>F$9="Sun"</formula>
    </cfRule>
  </conditionalFormatting>
  <conditionalFormatting sqref="F9:AG9">
    <cfRule type="cellIs" dxfId="269" priority="11" operator="equal">
      <formula>"Sun"</formula>
    </cfRule>
  </conditionalFormatting>
  <conditionalFormatting sqref="F11:AG40">
    <cfRule type="cellIs" dxfId="268" priority="5" operator="equal">
      <formula>"L"</formula>
    </cfRule>
    <cfRule type="cellIs" dxfId="267" priority="6" operator="equal">
      <formula>"L"</formula>
    </cfRule>
    <cfRule type="cellIs" dxfId="266" priority="7" operator="equal">
      <formula>"L"</formula>
    </cfRule>
    <cfRule type="cellIs" dxfId="265" priority="8" operator="equal">
      <formula>"A"</formula>
    </cfRule>
    <cfRule type="cellIs" dxfId="264" priority="9" operator="equal">
      <formula>"P"</formula>
    </cfRule>
    <cfRule type="cellIs" dxfId="263" priority="10" operator="equal">
      <formula>"P"</formula>
    </cfRule>
  </conditionalFormatting>
  <conditionalFormatting sqref="F11:F40">
    <cfRule type="expression" dxfId="262" priority="21">
      <formula>#REF!="Sun"</formula>
    </cfRule>
  </conditionalFormatting>
  <conditionalFormatting sqref="H11:M40">
    <cfRule type="expression" dxfId="261" priority="4">
      <formula>#REF!="Sun"</formula>
    </cfRule>
  </conditionalFormatting>
  <conditionalFormatting sqref="O11:T40">
    <cfRule type="expression" dxfId="260" priority="3">
      <formula>#REF!="Sun"</formula>
    </cfRule>
  </conditionalFormatting>
  <conditionalFormatting sqref="V11:AA40">
    <cfRule type="expression" dxfId="259" priority="2">
      <formula>#REF!="Sun"</formula>
    </cfRule>
  </conditionalFormatting>
  <conditionalFormatting sqref="AC11:AG40">
    <cfRule type="expression" dxfId="258" priority="1">
      <formula>#REF!="Sun"</formula>
    </cfRule>
  </conditionalFormatting>
  <dataValidations count="1">
    <dataValidation type="list" allowBlank="1" showInputMessage="1" showErrorMessage="1" sqref="F11:AG40">
      <formula1>"P, A, 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N66"/>
  <sheetViews>
    <sheetView zoomScaleNormal="100" workbookViewId="0">
      <selection activeCell="W50" sqref="W50"/>
    </sheetView>
  </sheetViews>
  <sheetFormatPr defaultRowHeight="15" x14ac:dyDescent="0.25"/>
  <cols>
    <col min="2" max="2" width="5.28515625" customWidth="1"/>
    <col min="3" max="3" width="19.85546875" bestFit="1" customWidth="1"/>
    <col min="4" max="4" width="11.5703125" bestFit="1" customWidth="1"/>
    <col min="5" max="5" width="21.5703125" bestFit="1" customWidth="1"/>
    <col min="6" max="11" width="11.28515625" bestFit="1" customWidth="1"/>
    <col min="12" max="12" width="11.28515625" customWidth="1"/>
    <col min="13" max="36" width="11.28515625" bestFit="1" customWidth="1"/>
    <col min="37" max="37" width="32" bestFit="1" customWidth="1"/>
    <col min="38" max="38" width="30.5703125" bestFit="1" customWidth="1"/>
    <col min="39" max="39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44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Sat</v>
      </c>
      <c r="G9" s="4" t="str">
        <f t="shared" ref="G9:AJ9" si="0">TEXT(G10, "ddd")</f>
        <v>Sun</v>
      </c>
      <c r="H9" s="4" t="str">
        <f t="shared" si="0"/>
        <v>Mon</v>
      </c>
      <c r="I9" s="4" t="str">
        <f t="shared" si="0"/>
        <v>Tue</v>
      </c>
      <c r="J9" s="4" t="str">
        <f t="shared" si="0"/>
        <v>Wed</v>
      </c>
      <c r="K9" s="4" t="str">
        <f t="shared" si="0"/>
        <v>Thu</v>
      </c>
      <c r="L9" s="4" t="str">
        <f t="shared" si="0"/>
        <v>Fri</v>
      </c>
      <c r="M9" s="4" t="str">
        <f t="shared" si="0"/>
        <v>Sat</v>
      </c>
      <c r="N9" s="4" t="str">
        <f t="shared" si="0"/>
        <v>Sun</v>
      </c>
      <c r="O9" s="4" t="str">
        <f t="shared" si="0"/>
        <v>Mon</v>
      </c>
      <c r="P9" s="4" t="str">
        <f t="shared" si="0"/>
        <v>Tue</v>
      </c>
      <c r="Q9" s="4" t="str">
        <f t="shared" si="0"/>
        <v>Wed</v>
      </c>
      <c r="R9" s="4" t="str">
        <f t="shared" si="0"/>
        <v>Thu</v>
      </c>
      <c r="S9" s="4" t="str">
        <f t="shared" si="0"/>
        <v>Fri</v>
      </c>
      <c r="T9" s="4" t="str">
        <f t="shared" si="0"/>
        <v>Sat</v>
      </c>
      <c r="U9" s="4" t="str">
        <f t="shared" si="0"/>
        <v>Sun</v>
      </c>
      <c r="V9" s="4" t="str">
        <f t="shared" si="0"/>
        <v>Mon</v>
      </c>
      <c r="W9" s="4" t="str">
        <f t="shared" si="0"/>
        <v>Tue</v>
      </c>
      <c r="X9" s="4" t="str">
        <f t="shared" si="0"/>
        <v>Wed</v>
      </c>
      <c r="Y9" s="4" t="str">
        <f t="shared" si="0"/>
        <v>Thu</v>
      </c>
      <c r="Z9" s="4" t="str">
        <f t="shared" si="0"/>
        <v>Fri</v>
      </c>
      <c r="AA9" s="4" t="str">
        <f t="shared" si="0"/>
        <v>Sat</v>
      </c>
      <c r="AB9" s="4" t="str">
        <f t="shared" si="0"/>
        <v>Sun</v>
      </c>
      <c r="AC9" s="4" t="str">
        <f t="shared" si="0"/>
        <v>Mon</v>
      </c>
      <c r="AD9" s="4" t="str">
        <f t="shared" si="0"/>
        <v>Tue</v>
      </c>
      <c r="AE9" s="4" t="str">
        <f t="shared" si="0"/>
        <v>Wed</v>
      </c>
      <c r="AF9" s="4" t="str">
        <f t="shared" si="0"/>
        <v>Thu</v>
      </c>
      <c r="AG9" s="4" t="str">
        <f t="shared" si="0"/>
        <v>Fri</v>
      </c>
      <c r="AH9" s="4" t="str">
        <f t="shared" si="0"/>
        <v>Sat</v>
      </c>
      <c r="AI9" s="4" t="str">
        <f t="shared" si="0"/>
        <v>Sun</v>
      </c>
      <c r="AJ9" s="4" t="str">
        <f t="shared" si="0"/>
        <v>Mon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3, 1)</f>
        <v>45717</v>
      </c>
      <c r="G10" s="3">
        <f>IF(F10&lt;E63,F10+1,"""")</f>
        <v>45718</v>
      </c>
      <c r="H10" s="3">
        <f t="shared" ref="H10:AJ10" si="1">IF(G10&lt;$E$63, G10+1, "")</f>
        <v>45719</v>
      </c>
      <c r="I10" s="3">
        <f t="shared" si="1"/>
        <v>45720</v>
      </c>
      <c r="J10" s="3">
        <f t="shared" si="1"/>
        <v>45721</v>
      </c>
      <c r="K10" s="3">
        <f t="shared" si="1"/>
        <v>45722</v>
      </c>
      <c r="L10" s="3">
        <f t="shared" si="1"/>
        <v>45723</v>
      </c>
      <c r="M10" s="3">
        <f t="shared" si="1"/>
        <v>45724</v>
      </c>
      <c r="N10" s="3">
        <f t="shared" si="1"/>
        <v>45725</v>
      </c>
      <c r="O10" s="3">
        <f t="shared" si="1"/>
        <v>45726</v>
      </c>
      <c r="P10" s="3">
        <f t="shared" si="1"/>
        <v>45727</v>
      </c>
      <c r="Q10" s="3">
        <f t="shared" si="1"/>
        <v>45728</v>
      </c>
      <c r="R10" s="3">
        <f t="shared" si="1"/>
        <v>45729</v>
      </c>
      <c r="S10" s="3">
        <f t="shared" si="1"/>
        <v>45730</v>
      </c>
      <c r="T10" s="3">
        <f t="shared" si="1"/>
        <v>45731</v>
      </c>
      <c r="U10" s="3">
        <f t="shared" si="1"/>
        <v>45732</v>
      </c>
      <c r="V10" s="3">
        <f t="shared" si="1"/>
        <v>45733</v>
      </c>
      <c r="W10" s="3">
        <f t="shared" si="1"/>
        <v>45734</v>
      </c>
      <c r="X10" s="3">
        <f t="shared" si="1"/>
        <v>45735</v>
      </c>
      <c r="Y10" s="3">
        <f t="shared" si="1"/>
        <v>45736</v>
      </c>
      <c r="Z10" s="3">
        <f t="shared" si="1"/>
        <v>45737</v>
      </c>
      <c r="AA10" s="3">
        <f t="shared" si="1"/>
        <v>45738</v>
      </c>
      <c r="AB10" s="3">
        <f t="shared" si="1"/>
        <v>45739</v>
      </c>
      <c r="AC10" s="3">
        <f t="shared" si="1"/>
        <v>45740</v>
      </c>
      <c r="AD10" s="3">
        <f t="shared" si="1"/>
        <v>45741</v>
      </c>
      <c r="AE10" s="3">
        <f t="shared" si="1"/>
        <v>45742</v>
      </c>
      <c r="AF10" s="3">
        <f t="shared" si="1"/>
        <v>45743</v>
      </c>
      <c r="AG10" s="3">
        <f t="shared" si="1"/>
        <v>45744</v>
      </c>
      <c r="AH10" s="3">
        <f t="shared" si="1"/>
        <v>45745</v>
      </c>
      <c r="AI10" s="3">
        <f t="shared" si="1"/>
        <v>45746</v>
      </c>
      <c r="AJ10" s="3">
        <f t="shared" si="1"/>
        <v>45747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AK11*100/26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AK12*100/26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7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E62*100/780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3, 31)</f>
        <v>45747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</sheetData>
  <mergeCells count="4">
    <mergeCell ref="G1:L3"/>
    <mergeCell ref="G5:L7"/>
    <mergeCell ref="AK9:AK10"/>
    <mergeCell ref="AL9:AL10"/>
  </mergeCells>
  <conditionalFormatting sqref="F6:F7 M5:AC7 G5 E63 F11:AB24 AC11:AI11 F33:H40 J33:O40 Q33:V40 X33:AC40 F25:AI32 AE12:AI24 AE33:AI40 F9:AJ10 F12:F40 H11:M40 O11:T40 V11:AA40 AC11:AH40">
    <cfRule type="cellIs" dxfId="257" priority="34" operator="equal">
      <formula>"Leave"</formula>
    </cfRule>
    <cfRule type="cellIs" dxfId="256" priority="35" operator="equal">
      <formula>"Absant"</formula>
    </cfRule>
    <cfRule type="cellIs" dxfId="255" priority="36" operator="equal">
      <formula>"Present"</formula>
    </cfRule>
  </conditionalFormatting>
  <conditionalFormatting sqref="F9:AJ10 G11:AJ40">
    <cfRule type="expression" dxfId="254" priority="33">
      <formula>F$9="Sun"</formula>
    </cfRule>
  </conditionalFormatting>
  <conditionalFormatting sqref="F9:AJ9">
    <cfRule type="cellIs" dxfId="253" priority="32" operator="equal">
      <formula>"Sun"</formula>
    </cfRule>
  </conditionalFormatting>
  <conditionalFormatting sqref="F11:AI40">
    <cfRule type="cellIs" dxfId="252" priority="26" operator="equal">
      <formula>"L"</formula>
    </cfRule>
    <cfRule type="cellIs" dxfId="251" priority="27" operator="equal">
      <formula>"L"</formula>
    </cfRule>
    <cfRule type="cellIs" dxfId="250" priority="28" operator="equal">
      <formula>"L"</formula>
    </cfRule>
    <cfRule type="cellIs" dxfId="249" priority="29" operator="equal">
      <formula>"A"</formula>
    </cfRule>
    <cfRule type="cellIs" dxfId="248" priority="30" operator="equal">
      <formula>"P"</formula>
    </cfRule>
    <cfRule type="cellIs" dxfId="247" priority="31" operator="equal">
      <formula>"P"</formula>
    </cfRule>
  </conditionalFormatting>
  <conditionalFormatting sqref="F11:F40">
    <cfRule type="expression" dxfId="246" priority="51">
      <formula>#REF!="Sun"</formula>
    </cfRule>
  </conditionalFormatting>
  <conditionalFormatting sqref="H11:M40">
    <cfRule type="expression" dxfId="245" priority="15">
      <formula>#REF!="Sun"</formula>
    </cfRule>
  </conditionalFormatting>
  <conditionalFormatting sqref="O11:T40">
    <cfRule type="expression" dxfId="244" priority="14">
      <formula>#REF!="Sun"</formula>
    </cfRule>
  </conditionalFormatting>
  <conditionalFormatting sqref="V11:AA40">
    <cfRule type="expression" dxfId="243" priority="13">
      <formula>#REF!="Sun"</formula>
    </cfRule>
  </conditionalFormatting>
  <conditionalFormatting sqref="AC11:AH40">
    <cfRule type="expression" dxfId="242" priority="12">
      <formula>#REF!="Sun"</formula>
    </cfRule>
  </conditionalFormatting>
  <conditionalFormatting sqref="AJ11:AJ40">
    <cfRule type="cellIs" dxfId="241" priority="9" operator="equal">
      <formula>"Leave"</formula>
    </cfRule>
    <cfRule type="cellIs" dxfId="240" priority="10" operator="equal">
      <formula>"Absant"</formula>
    </cfRule>
    <cfRule type="cellIs" dxfId="239" priority="11" operator="equal">
      <formula>"Present"</formula>
    </cfRule>
  </conditionalFormatting>
  <conditionalFormatting sqref="AJ11:AJ40">
    <cfRule type="cellIs" dxfId="238" priority="2" operator="equal">
      <formula>"L"</formula>
    </cfRule>
    <cfRule type="cellIs" dxfId="237" priority="3" operator="equal">
      <formula>"L"</formula>
    </cfRule>
    <cfRule type="cellIs" dxfId="236" priority="4" operator="equal">
      <formula>"L"</formula>
    </cfRule>
    <cfRule type="cellIs" dxfId="235" priority="5" operator="equal">
      <formula>"A"</formula>
    </cfRule>
    <cfRule type="cellIs" dxfId="234" priority="6" operator="equal">
      <formula>"P"</formula>
    </cfRule>
    <cfRule type="cellIs" dxfId="233" priority="7" operator="equal">
      <formula>"P"</formula>
    </cfRule>
  </conditionalFormatting>
  <conditionalFormatting sqref="AJ11:AJ40">
    <cfRule type="expression" dxfId="232" priority="1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N64"/>
  <sheetViews>
    <sheetView zoomScaleNormal="100" workbookViewId="0">
      <selection activeCell="AJ17" sqref="AJ17"/>
    </sheetView>
  </sheetViews>
  <sheetFormatPr defaultRowHeight="15" x14ac:dyDescent="0.25"/>
  <cols>
    <col min="2" max="2" width="5.140625" customWidth="1"/>
    <col min="3" max="3" width="19.85546875" bestFit="1" customWidth="1"/>
    <col min="4" max="4" width="11.5703125" bestFit="1" customWidth="1"/>
    <col min="5" max="5" width="21.42578125" bestFit="1" customWidth="1"/>
    <col min="6" max="35" width="11.28515625" bestFit="1" customWidth="1"/>
    <col min="36" max="36" width="25.28515625" bestFit="1" customWidth="1"/>
    <col min="37" max="37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45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 t="shared" ref="F9:AI9" si="0">TEXT(F10, "ddd")</f>
        <v>Tue</v>
      </c>
      <c r="G9" s="4" t="str">
        <f t="shared" si="0"/>
        <v>Wed</v>
      </c>
      <c r="H9" s="4" t="str">
        <f t="shared" si="0"/>
        <v>Thu</v>
      </c>
      <c r="I9" s="4" t="str">
        <f t="shared" si="0"/>
        <v>Fri</v>
      </c>
      <c r="J9" s="4" t="str">
        <f t="shared" si="0"/>
        <v>Sat</v>
      </c>
      <c r="K9" s="4" t="str">
        <f t="shared" si="0"/>
        <v>Sun</v>
      </c>
      <c r="L9" s="4" t="str">
        <f t="shared" si="0"/>
        <v>Mon</v>
      </c>
      <c r="M9" s="4" t="str">
        <f t="shared" si="0"/>
        <v>Tue</v>
      </c>
      <c r="N9" s="4" t="str">
        <f t="shared" si="0"/>
        <v>Wed</v>
      </c>
      <c r="O9" s="4" t="str">
        <f t="shared" si="0"/>
        <v>Thu</v>
      </c>
      <c r="P9" s="4" t="str">
        <f t="shared" si="0"/>
        <v>Fri</v>
      </c>
      <c r="Q9" s="4" t="str">
        <f t="shared" si="0"/>
        <v>Sat</v>
      </c>
      <c r="R9" s="4" t="str">
        <f t="shared" si="0"/>
        <v>Sun</v>
      </c>
      <c r="S9" s="4" t="str">
        <f t="shared" si="0"/>
        <v>Mon</v>
      </c>
      <c r="T9" s="4" t="str">
        <f t="shared" si="0"/>
        <v>Tue</v>
      </c>
      <c r="U9" s="4" t="str">
        <f t="shared" si="0"/>
        <v>Wed</v>
      </c>
      <c r="V9" s="4" t="str">
        <f t="shared" si="0"/>
        <v>Thu</v>
      </c>
      <c r="W9" s="4" t="str">
        <f t="shared" si="0"/>
        <v>Fri</v>
      </c>
      <c r="X9" s="4" t="str">
        <f t="shared" si="0"/>
        <v>Sat</v>
      </c>
      <c r="Y9" s="4" t="str">
        <f t="shared" si="0"/>
        <v>Sun</v>
      </c>
      <c r="Z9" s="4" t="str">
        <f t="shared" si="0"/>
        <v>Mon</v>
      </c>
      <c r="AA9" s="4" t="str">
        <f t="shared" si="0"/>
        <v>Tue</v>
      </c>
      <c r="AB9" s="4" t="str">
        <f t="shared" si="0"/>
        <v>Wed</v>
      </c>
      <c r="AC9" s="4" t="str">
        <f t="shared" si="0"/>
        <v>Thu</v>
      </c>
      <c r="AD9" s="4" t="str">
        <f t="shared" si="0"/>
        <v>Fri</v>
      </c>
      <c r="AE9" s="4" t="str">
        <f t="shared" si="0"/>
        <v>Sat</v>
      </c>
      <c r="AF9" s="4" t="str">
        <f t="shared" si="0"/>
        <v>Sun</v>
      </c>
      <c r="AG9" s="4" t="str">
        <f t="shared" si="0"/>
        <v>Mon</v>
      </c>
      <c r="AH9" s="4" t="str">
        <f t="shared" si="0"/>
        <v>Tue</v>
      </c>
      <c r="AI9" s="4" t="str">
        <f t="shared" si="0"/>
        <v>Wed</v>
      </c>
      <c r="AJ9" s="20" t="s">
        <v>40</v>
      </c>
      <c r="AK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4, 1)</f>
        <v>45748</v>
      </c>
      <c r="G10" s="3">
        <f>IF(F10&lt;E63,F10+1,"""")</f>
        <v>45749</v>
      </c>
      <c r="H10" s="3">
        <f t="shared" ref="H10:AI10" si="1">IF(G10&lt;$E$63, G10+1, "")</f>
        <v>45750</v>
      </c>
      <c r="I10" s="3">
        <f t="shared" si="1"/>
        <v>45751</v>
      </c>
      <c r="J10" s="3">
        <f t="shared" si="1"/>
        <v>45752</v>
      </c>
      <c r="K10" s="3">
        <f t="shared" si="1"/>
        <v>45753</v>
      </c>
      <c r="L10" s="3">
        <f t="shared" si="1"/>
        <v>45754</v>
      </c>
      <c r="M10" s="3">
        <f t="shared" si="1"/>
        <v>45755</v>
      </c>
      <c r="N10" s="3">
        <f t="shared" si="1"/>
        <v>45756</v>
      </c>
      <c r="O10" s="3">
        <f t="shared" si="1"/>
        <v>45757</v>
      </c>
      <c r="P10" s="3">
        <f t="shared" si="1"/>
        <v>45758</v>
      </c>
      <c r="Q10" s="3">
        <f t="shared" si="1"/>
        <v>45759</v>
      </c>
      <c r="R10" s="3">
        <f t="shared" si="1"/>
        <v>45760</v>
      </c>
      <c r="S10" s="3">
        <f t="shared" si="1"/>
        <v>45761</v>
      </c>
      <c r="T10" s="3">
        <f t="shared" si="1"/>
        <v>45762</v>
      </c>
      <c r="U10" s="3">
        <f t="shared" si="1"/>
        <v>45763</v>
      </c>
      <c r="V10" s="3">
        <f t="shared" si="1"/>
        <v>45764</v>
      </c>
      <c r="W10" s="3">
        <f t="shared" si="1"/>
        <v>45765</v>
      </c>
      <c r="X10" s="3">
        <f t="shared" si="1"/>
        <v>45766</v>
      </c>
      <c r="Y10" s="3">
        <f t="shared" si="1"/>
        <v>45767</v>
      </c>
      <c r="Z10" s="3">
        <f t="shared" si="1"/>
        <v>45768</v>
      </c>
      <c r="AA10" s="3">
        <f t="shared" si="1"/>
        <v>45769</v>
      </c>
      <c r="AB10" s="3">
        <f t="shared" si="1"/>
        <v>45770</v>
      </c>
      <c r="AC10" s="3">
        <f t="shared" si="1"/>
        <v>45771</v>
      </c>
      <c r="AD10" s="3">
        <f t="shared" si="1"/>
        <v>45772</v>
      </c>
      <c r="AE10" s="3">
        <f t="shared" si="1"/>
        <v>45773</v>
      </c>
      <c r="AF10" s="3">
        <f t="shared" si="1"/>
        <v>45774</v>
      </c>
      <c r="AG10" s="3">
        <f t="shared" si="1"/>
        <v>45775</v>
      </c>
      <c r="AH10" s="3">
        <f t="shared" si="1"/>
        <v>45776</v>
      </c>
      <c r="AI10" s="3">
        <f t="shared" si="1"/>
        <v>45777</v>
      </c>
      <c r="AJ10" s="20"/>
      <c r="AK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">
        <f>COUNTIF(F11:AI11, "P")</f>
        <v>0</v>
      </c>
      <c r="AK11" s="14">
        <f>AJ11*100/26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">
        <f t="shared" ref="AJ12:AJ40" si="2">COUNTIF(F12:AI12, "P")</f>
        <v>0</v>
      </c>
      <c r="AK12" s="14">
        <f t="shared" ref="AK12:AK40" si="3">AJ12*100/26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">
        <f t="shared" si="2"/>
        <v>0</v>
      </c>
      <c r="AK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">
        <f t="shared" si="2"/>
        <v>0</v>
      </c>
      <c r="AK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">
        <f t="shared" si="2"/>
        <v>0</v>
      </c>
      <c r="AK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">
        <f>COUNTIF(F16:AI16, "P")</f>
        <v>0</v>
      </c>
      <c r="AK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">
        <f t="shared" si="2"/>
        <v>0</v>
      </c>
      <c r="AK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">
        <f t="shared" si="2"/>
        <v>0</v>
      </c>
      <c r="AK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">
        <f t="shared" si="2"/>
        <v>0</v>
      </c>
      <c r="AK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">
        <f t="shared" si="2"/>
        <v>0</v>
      </c>
      <c r="AK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">
        <f t="shared" si="2"/>
        <v>0</v>
      </c>
      <c r="AK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">
        <f t="shared" si="2"/>
        <v>0</v>
      </c>
      <c r="AK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">
        <f t="shared" si="2"/>
        <v>0</v>
      </c>
      <c r="AK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">
        <f t="shared" si="2"/>
        <v>0</v>
      </c>
      <c r="AK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">
        <f t="shared" si="2"/>
        <v>0</v>
      </c>
      <c r="AK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">
        <f t="shared" si="2"/>
        <v>0</v>
      </c>
      <c r="AK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">
        <f t="shared" si="2"/>
        <v>0</v>
      </c>
      <c r="AK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">
        <f t="shared" si="2"/>
        <v>0</v>
      </c>
      <c r="AK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">
        <f t="shared" si="2"/>
        <v>0</v>
      </c>
      <c r="AK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">
        <f t="shared" si="2"/>
        <v>0</v>
      </c>
      <c r="AK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">
        <f t="shared" si="2"/>
        <v>0</v>
      </c>
      <c r="AK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">
        <f t="shared" si="2"/>
        <v>0</v>
      </c>
      <c r="AK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">
        <f t="shared" si="2"/>
        <v>0</v>
      </c>
      <c r="AK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">
        <f>COUNTIF(F34:AI34, "P")</f>
        <v>0</v>
      </c>
      <c r="AK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">
        <f t="shared" si="2"/>
        <v>0</v>
      </c>
      <c r="AK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">
        <f t="shared" si="2"/>
        <v>0</v>
      </c>
      <c r="AK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">
        <f t="shared" si="2"/>
        <v>0</v>
      </c>
      <c r="AK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">
        <f t="shared" si="2"/>
        <v>0</v>
      </c>
      <c r="AK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">
        <f t="shared" si="2"/>
        <v>0</v>
      </c>
      <c r="AK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">
        <f t="shared" si="2"/>
        <v>0</v>
      </c>
      <c r="AK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8" x14ac:dyDescent="0.2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15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14">
        <f>E62*100/780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SUM(AJ11:AJ40)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4, 30)</f>
        <v>45777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J9:AJ10"/>
    <mergeCell ref="AK9:AK10"/>
  </mergeCells>
  <conditionalFormatting sqref="F6:F7 M5:AC7 G5 E63 F9:AI10">
    <cfRule type="cellIs" dxfId="231" priority="28" operator="equal">
      <formula>"Leave"</formula>
    </cfRule>
    <cfRule type="cellIs" dxfId="230" priority="29" operator="equal">
      <formula>"Absant"</formula>
    </cfRule>
    <cfRule type="cellIs" dxfId="229" priority="30" operator="equal">
      <formula>"Present"</formula>
    </cfRule>
  </conditionalFormatting>
  <conditionalFormatting sqref="F9:AI10">
    <cfRule type="expression" dxfId="228" priority="27">
      <formula>F$9="Sun"</formula>
    </cfRule>
  </conditionalFormatting>
  <conditionalFormatting sqref="F9:AI9">
    <cfRule type="cellIs" dxfId="227" priority="26" operator="equal">
      <formula>"Sun"</formula>
    </cfRule>
  </conditionalFormatting>
  <conditionalFormatting sqref="F11:AI40">
    <cfRule type="cellIs" dxfId="226" priority="1" operator="equal">
      <formula>"L"</formula>
    </cfRule>
    <cfRule type="cellIs" dxfId="225" priority="2" operator="equal">
      <formula>"A"</formula>
    </cfRule>
    <cfRule type="cellIs" dxfId="224" priority="3" operator="equal">
      <formula>"P"</formula>
    </cfRule>
    <cfRule type="expression" dxfId="223" priority="4">
      <formula>F$9="Sun"</formula>
    </cfRule>
  </conditionalFormatting>
  <dataValidations count="1">
    <dataValidation type="list" allowBlank="1" showInputMessage="1" showErrorMessage="1" sqref="F11:AI40">
      <formula1>"P, A, 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64"/>
  <sheetViews>
    <sheetView zoomScaleNormal="100" workbookViewId="0">
      <selection activeCell="O14" sqref="O14"/>
    </sheetView>
  </sheetViews>
  <sheetFormatPr defaultRowHeight="15" x14ac:dyDescent="0.25"/>
  <cols>
    <col min="2" max="2" width="5.28515625" customWidth="1"/>
    <col min="3" max="3" width="19.85546875" bestFit="1" customWidth="1"/>
    <col min="4" max="4" width="11.5703125" bestFit="1" customWidth="1"/>
    <col min="5" max="5" width="21.5703125" bestFit="1" customWidth="1"/>
    <col min="6" max="11" width="11.28515625" bestFit="1" customWidth="1"/>
    <col min="12" max="12" width="11.28515625" customWidth="1"/>
    <col min="13" max="36" width="11.28515625" bestFit="1" customWidth="1"/>
    <col min="37" max="37" width="32" bestFit="1" customWidth="1"/>
    <col min="38" max="38" width="30.5703125" bestFit="1" customWidth="1"/>
    <col min="39" max="39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46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Thu</v>
      </c>
      <c r="G9" s="4" t="str">
        <f t="shared" ref="G9:AJ9" si="0">TEXT(G10, "ddd")</f>
        <v>Fri</v>
      </c>
      <c r="H9" s="4" t="str">
        <f t="shared" si="0"/>
        <v>Sat</v>
      </c>
      <c r="I9" s="4" t="str">
        <f t="shared" si="0"/>
        <v>Sun</v>
      </c>
      <c r="J9" s="4" t="str">
        <f t="shared" si="0"/>
        <v>Mon</v>
      </c>
      <c r="K9" s="4" t="str">
        <f t="shared" si="0"/>
        <v>Tue</v>
      </c>
      <c r="L9" s="4" t="str">
        <f t="shared" si="0"/>
        <v>Wed</v>
      </c>
      <c r="M9" s="4" t="str">
        <f t="shared" si="0"/>
        <v>Thu</v>
      </c>
      <c r="N9" s="4" t="str">
        <f t="shared" si="0"/>
        <v>Fri</v>
      </c>
      <c r="O9" s="4" t="str">
        <f t="shared" si="0"/>
        <v>Sat</v>
      </c>
      <c r="P9" s="4" t="str">
        <f t="shared" si="0"/>
        <v>Sun</v>
      </c>
      <c r="Q9" s="4" t="str">
        <f t="shared" si="0"/>
        <v>Mon</v>
      </c>
      <c r="R9" s="4" t="str">
        <f t="shared" si="0"/>
        <v>Tue</v>
      </c>
      <c r="S9" s="4" t="str">
        <f t="shared" si="0"/>
        <v>Wed</v>
      </c>
      <c r="T9" s="4" t="str">
        <f t="shared" si="0"/>
        <v>Thu</v>
      </c>
      <c r="U9" s="4" t="str">
        <f t="shared" si="0"/>
        <v>Fri</v>
      </c>
      <c r="V9" s="4" t="str">
        <f t="shared" si="0"/>
        <v>Sat</v>
      </c>
      <c r="W9" s="4" t="str">
        <f t="shared" si="0"/>
        <v>Sun</v>
      </c>
      <c r="X9" s="4" t="str">
        <f t="shared" si="0"/>
        <v>Mon</v>
      </c>
      <c r="Y9" s="4" t="str">
        <f t="shared" si="0"/>
        <v>Tue</v>
      </c>
      <c r="Z9" s="4" t="str">
        <f t="shared" si="0"/>
        <v>Wed</v>
      </c>
      <c r="AA9" s="4" t="str">
        <f t="shared" si="0"/>
        <v>Thu</v>
      </c>
      <c r="AB9" s="4" t="str">
        <f t="shared" si="0"/>
        <v>Fri</v>
      </c>
      <c r="AC9" s="4" t="str">
        <f t="shared" si="0"/>
        <v>Sat</v>
      </c>
      <c r="AD9" s="4" t="str">
        <f t="shared" si="0"/>
        <v>Sun</v>
      </c>
      <c r="AE9" s="4" t="str">
        <f t="shared" si="0"/>
        <v>Mon</v>
      </c>
      <c r="AF9" s="4" t="str">
        <f t="shared" si="0"/>
        <v>Tue</v>
      </c>
      <c r="AG9" s="4" t="str">
        <f t="shared" si="0"/>
        <v>Wed</v>
      </c>
      <c r="AH9" s="4" t="str">
        <f t="shared" si="0"/>
        <v>Thu</v>
      </c>
      <c r="AI9" s="4" t="str">
        <f t="shared" si="0"/>
        <v>Fri</v>
      </c>
      <c r="AJ9" s="4" t="str">
        <f t="shared" si="0"/>
        <v>Sat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5, 1)</f>
        <v>45778</v>
      </c>
      <c r="G10" s="3">
        <f>IF(F10&lt;E63,F10+1,"""")</f>
        <v>45779</v>
      </c>
      <c r="H10" s="3">
        <f t="shared" ref="H10:AJ10" si="1">IF(G10&lt;$E$63, G10+1, "")</f>
        <v>45780</v>
      </c>
      <c r="I10" s="3">
        <f t="shared" si="1"/>
        <v>45781</v>
      </c>
      <c r="J10" s="3">
        <f t="shared" si="1"/>
        <v>45782</v>
      </c>
      <c r="K10" s="3">
        <f t="shared" si="1"/>
        <v>45783</v>
      </c>
      <c r="L10" s="3">
        <f t="shared" si="1"/>
        <v>45784</v>
      </c>
      <c r="M10" s="3">
        <f t="shared" si="1"/>
        <v>45785</v>
      </c>
      <c r="N10" s="3">
        <f t="shared" si="1"/>
        <v>45786</v>
      </c>
      <c r="O10" s="3">
        <f t="shared" si="1"/>
        <v>45787</v>
      </c>
      <c r="P10" s="3">
        <f t="shared" si="1"/>
        <v>45788</v>
      </c>
      <c r="Q10" s="3">
        <f t="shared" si="1"/>
        <v>45789</v>
      </c>
      <c r="R10" s="3">
        <f t="shared" si="1"/>
        <v>45790</v>
      </c>
      <c r="S10" s="3">
        <f t="shared" si="1"/>
        <v>45791</v>
      </c>
      <c r="T10" s="3">
        <f t="shared" si="1"/>
        <v>45792</v>
      </c>
      <c r="U10" s="3">
        <f t="shared" si="1"/>
        <v>45793</v>
      </c>
      <c r="V10" s="3">
        <f t="shared" si="1"/>
        <v>45794</v>
      </c>
      <c r="W10" s="3">
        <f t="shared" si="1"/>
        <v>45795</v>
      </c>
      <c r="X10" s="3">
        <f t="shared" si="1"/>
        <v>45796</v>
      </c>
      <c r="Y10" s="3">
        <f t="shared" si="1"/>
        <v>45797</v>
      </c>
      <c r="Z10" s="3">
        <f t="shared" si="1"/>
        <v>45798</v>
      </c>
      <c r="AA10" s="3">
        <f t="shared" si="1"/>
        <v>45799</v>
      </c>
      <c r="AB10" s="3">
        <f t="shared" si="1"/>
        <v>45800</v>
      </c>
      <c r="AC10" s="3">
        <f t="shared" si="1"/>
        <v>45801</v>
      </c>
      <c r="AD10" s="3">
        <f t="shared" si="1"/>
        <v>45802</v>
      </c>
      <c r="AE10" s="3">
        <f t="shared" si="1"/>
        <v>45803</v>
      </c>
      <c r="AF10" s="3">
        <f t="shared" si="1"/>
        <v>45804</v>
      </c>
      <c r="AG10" s="3">
        <f t="shared" si="1"/>
        <v>45805</v>
      </c>
      <c r="AH10" s="3">
        <f t="shared" si="1"/>
        <v>45806</v>
      </c>
      <c r="AI10" s="3">
        <f t="shared" si="1"/>
        <v>45807</v>
      </c>
      <c r="AJ10" s="3">
        <f t="shared" si="1"/>
        <v>45808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AK11*100/27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AK12*100/27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7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E62*100/810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5, 31)</f>
        <v>45808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K9:AK10"/>
    <mergeCell ref="AL9:AL10"/>
  </mergeCells>
  <conditionalFormatting sqref="F6:F7 M5:AC7 G5 E63 F9:AJ10 F11:AD40">
    <cfRule type="cellIs" dxfId="222" priority="37" operator="equal">
      <formula>"Leave"</formula>
    </cfRule>
    <cfRule type="cellIs" dxfId="221" priority="38" operator="equal">
      <formula>"Absant"</formula>
    </cfRule>
    <cfRule type="cellIs" dxfId="220" priority="39" operator="equal">
      <formula>"Present"</formula>
    </cfRule>
  </conditionalFormatting>
  <conditionalFormatting sqref="F9:AJ10 G11:AD40">
    <cfRule type="expression" dxfId="219" priority="36">
      <formula>F$9="Sun"</formula>
    </cfRule>
  </conditionalFormatting>
  <conditionalFormatting sqref="F9:AJ9">
    <cfRule type="cellIs" dxfId="218" priority="35" operator="equal">
      <formula>"Sun"</formula>
    </cfRule>
  </conditionalFormatting>
  <conditionalFormatting sqref="F11:AD40">
    <cfRule type="cellIs" dxfId="217" priority="29" operator="equal">
      <formula>"L"</formula>
    </cfRule>
    <cfRule type="cellIs" dxfId="216" priority="30" operator="equal">
      <formula>"L"</formula>
    </cfRule>
    <cfRule type="cellIs" dxfId="215" priority="31" operator="equal">
      <formula>"L"</formula>
    </cfRule>
    <cfRule type="cellIs" dxfId="214" priority="32" operator="equal">
      <formula>"A"</formula>
    </cfRule>
    <cfRule type="cellIs" dxfId="213" priority="33" operator="equal">
      <formula>"P"</formula>
    </cfRule>
    <cfRule type="cellIs" dxfId="212" priority="34" operator="equal">
      <formula>"P"</formula>
    </cfRule>
  </conditionalFormatting>
  <conditionalFormatting sqref="F11:H40">
    <cfRule type="expression" dxfId="211" priority="41">
      <formula>#REF!="Sun"</formula>
    </cfRule>
  </conditionalFormatting>
  <conditionalFormatting sqref="H11:M40">
    <cfRule type="expression" dxfId="210" priority="28">
      <formula>#REF!="Sun"</formula>
    </cfRule>
  </conditionalFormatting>
  <conditionalFormatting sqref="O11:T40">
    <cfRule type="expression" dxfId="209" priority="27">
      <formula>#REF!="Sun"</formula>
    </cfRule>
  </conditionalFormatting>
  <conditionalFormatting sqref="V11:AA40">
    <cfRule type="expression" dxfId="208" priority="26">
      <formula>#REF!="Sun"</formula>
    </cfRule>
  </conditionalFormatting>
  <conditionalFormatting sqref="AC11:AD40">
    <cfRule type="expression" dxfId="207" priority="25">
      <formula>#REF!="Sun"</formula>
    </cfRule>
  </conditionalFormatting>
  <conditionalFormatting sqref="J11:O40">
    <cfRule type="expression" dxfId="206" priority="13">
      <formula>#REF!="Sun"</formula>
    </cfRule>
  </conditionalFormatting>
  <conditionalFormatting sqref="Q11:V40">
    <cfRule type="expression" dxfId="205" priority="12">
      <formula>#REF!="Sun"</formula>
    </cfRule>
  </conditionalFormatting>
  <conditionalFormatting sqref="X11:AC40">
    <cfRule type="expression" dxfId="204" priority="11">
      <formula>#REF!="Sun"</formula>
    </cfRule>
  </conditionalFormatting>
  <conditionalFormatting sqref="AE11:AJ40">
    <cfRule type="cellIs" dxfId="203" priority="7" operator="equal">
      <formula>"Leave"</formula>
    </cfRule>
    <cfRule type="cellIs" dxfId="202" priority="8" operator="equal">
      <formula>"Absant"</formula>
    </cfRule>
    <cfRule type="cellIs" dxfId="201" priority="9" operator="equal">
      <formula>"Present"</formula>
    </cfRule>
  </conditionalFormatting>
  <conditionalFormatting sqref="AE11:AJ40">
    <cfRule type="cellIs" dxfId="200" priority="1" operator="equal">
      <formula>"L"</formula>
    </cfRule>
    <cfRule type="cellIs" dxfId="199" priority="2" operator="equal">
      <formula>"L"</formula>
    </cfRule>
    <cfRule type="cellIs" dxfId="198" priority="3" operator="equal">
      <formula>"L"</formula>
    </cfRule>
    <cfRule type="cellIs" dxfId="197" priority="4" operator="equal">
      <formula>"A"</formula>
    </cfRule>
    <cfRule type="cellIs" dxfId="196" priority="5" operator="equal">
      <formula>"P"</formula>
    </cfRule>
    <cfRule type="cellIs" dxfId="195" priority="6" operator="equal">
      <formula>"P"</formula>
    </cfRule>
  </conditionalFormatting>
  <conditionalFormatting sqref="AE11:AJ40">
    <cfRule type="expression" dxfId="194" priority="10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64"/>
  <sheetViews>
    <sheetView zoomScaleNormal="100" workbookViewId="0">
      <selection activeCell="X51" sqref="X51"/>
    </sheetView>
  </sheetViews>
  <sheetFormatPr defaultRowHeight="15" x14ac:dyDescent="0.25"/>
  <cols>
    <col min="2" max="2" width="5.28515625" customWidth="1"/>
    <col min="3" max="3" width="19.85546875" bestFit="1" customWidth="1"/>
    <col min="4" max="4" width="11.5703125" bestFit="1" customWidth="1"/>
    <col min="5" max="5" width="21.5703125" customWidth="1"/>
    <col min="6" max="35" width="11.28515625" bestFit="1" customWidth="1"/>
    <col min="36" max="36" width="32" bestFit="1" customWidth="1"/>
    <col min="37" max="37" width="30.5703125" bestFit="1" customWidth="1"/>
    <col min="38" max="38" width="24.28515625" bestFit="1" customWidth="1"/>
  </cols>
  <sheetData>
    <row r="1" spans="1:39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5"/>
      <c r="B5" s="12"/>
      <c r="C5" s="1" t="s">
        <v>34</v>
      </c>
      <c r="D5" s="5"/>
      <c r="E5" s="5"/>
      <c r="F5" s="5"/>
      <c r="G5" s="21" t="s">
        <v>47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</row>
    <row r="8" spans="1:3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5"/>
      <c r="B9" s="5"/>
      <c r="C9" s="5"/>
      <c r="D9" s="5"/>
      <c r="E9" s="5"/>
      <c r="F9" s="4" t="str">
        <f t="shared" ref="F9:AI9" si="0">TEXT(F10, "ddd")</f>
        <v>Sun</v>
      </c>
      <c r="G9" s="4" t="str">
        <f t="shared" si="0"/>
        <v>Mon</v>
      </c>
      <c r="H9" s="4" t="str">
        <f t="shared" si="0"/>
        <v>Tue</v>
      </c>
      <c r="I9" s="4" t="str">
        <f t="shared" si="0"/>
        <v>Wed</v>
      </c>
      <c r="J9" s="4" t="str">
        <f t="shared" si="0"/>
        <v>Thu</v>
      </c>
      <c r="K9" s="4" t="str">
        <f t="shared" si="0"/>
        <v>Fri</v>
      </c>
      <c r="L9" s="4" t="str">
        <f t="shared" si="0"/>
        <v>Sat</v>
      </c>
      <c r="M9" s="4" t="str">
        <f t="shared" si="0"/>
        <v>Sun</v>
      </c>
      <c r="N9" s="4" t="str">
        <f t="shared" si="0"/>
        <v>Mon</v>
      </c>
      <c r="O9" s="4" t="str">
        <f t="shared" si="0"/>
        <v>Tue</v>
      </c>
      <c r="P9" s="4" t="str">
        <f t="shared" si="0"/>
        <v>Wed</v>
      </c>
      <c r="Q9" s="4" t="str">
        <f t="shared" si="0"/>
        <v>Thu</v>
      </c>
      <c r="R9" s="4" t="str">
        <f t="shared" si="0"/>
        <v>Fri</v>
      </c>
      <c r="S9" s="4" t="str">
        <f t="shared" si="0"/>
        <v>Sat</v>
      </c>
      <c r="T9" s="4" t="str">
        <f t="shared" si="0"/>
        <v>Sun</v>
      </c>
      <c r="U9" s="4" t="str">
        <f t="shared" si="0"/>
        <v>Mon</v>
      </c>
      <c r="V9" s="4" t="str">
        <f t="shared" si="0"/>
        <v>Tue</v>
      </c>
      <c r="W9" s="4" t="str">
        <f t="shared" si="0"/>
        <v>Wed</v>
      </c>
      <c r="X9" s="4" t="str">
        <f t="shared" si="0"/>
        <v>Thu</v>
      </c>
      <c r="Y9" s="4" t="str">
        <f t="shared" si="0"/>
        <v>Fri</v>
      </c>
      <c r="Z9" s="4" t="str">
        <f t="shared" si="0"/>
        <v>Sat</v>
      </c>
      <c r="AA9" s="4" t="str">
        <f t="shared" si="0"/>
        <v>Sun</v>
      </c>
      <c r="AB9" s="4" t="str">
        <f t="shared" si="0"/>
        <v>Mon</v>
      </c>
      <c r="AC9" s="4" t="str">
        <f t="shared" si="0"/>
        <v>Tue</v>
      </c>
      <c r="AD9" s="4" t="str">
        <f t="shared" si="0"/>
        <v>Wed</v>
      </c>
      <c r="AE9" s="4" t="str">
        <f t="shared" si="0"/>
        <v>Thu</v>
      </c>
      <c r="AF9" s="4" t="str">
        <f t="shared" si="0"/>
        <v>Fri</v>
      </c>
      <c r="AG9" s="4" t="str">
        <f t="shared" si="0"/>
        <v>Sat</v>
      </c>
      <c r="AH9" s="4" t="str">
        <f t="shared" si="0"/>
        <v>Sun</v>
      </c>
      <c r="AI9" s="4" t="str">
        <f t="shared" si="0"/>
        <v>Mon</v>
      </c>
      <c r="AJ9" s="20" t="s">
        <v>40</v>
      </c>
      <c r="AK9" s="20" t="s">
        <v>41</v>
      </c>
    </row>
    <row r="10" spans="1:39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6, 1)</f>
        <v>45809</v>
      </c>
      <c r="G10" s="3">
        <f>IF(F10&lt;E63,F10+1,"""")</f>
        <v>45810</v>
      </c>
      <c r="H10" s="3">
        <f t="shared" ref="H10:AI10" si="1">IF(G10&lt;$E$63, G10+1, "")</f>
        <v>45811</v>
      </c>
      <c r="I10" s="3">
        <f t="shared" si="1"/>
        <v>45812</v>
      </c>
      <c r="J10" s="3">
        <f t="shared" si="1"/>
        <v>45813</v>
      </c>
      <c r="K10" s="3">
        <f t="shared" si="1"/>
        <v>45814</v>
      </c>
      <c r="L10" s="3">
        <f t="shared" si="1"/>
        <v>45815</v>
      </c>
      <c r="M10" s="3">
        <f t="shared" si="1"/>
        <v>45816</v>
      </c>
      <c r="N10" s="3">
        <f t="shared" si="1"/>
        <v>45817</v>
      </c>
      <c r="O10" s="3">
        <f t="shared" si="1"/>
        <v>45818</v>
      </c>
      <c r="P10" s="3">
        <f t="shared" si="1"/>
        <v>45819</v>
      </c>
      <c r="Q10" s="3">
        <f t="shared" si="1"/>
        <v>45820</v>
      </c>
      <c r="R10" s="3">
        <f t="shared" si="1"/>
        <v>45821</v>
      </c>
      <c r="S10" s="3">
        <f t="shared" si="1"/>
        <v>45822</v>
      </c>
      <c r="T10" s="3">
        <f t="shared" si="1"/>
        <v>45823</v>
      </c>
      <c r="U10" s="3">
        <f t="shared" si="1"/>
        <v>45824</v>
      </c>
      <c r="V10" s="3">
        <f t="shared" si="1"/>
        <v>45825</v>
      </c>
      <c r="W10" s="3">
        <f t="shared" si="1"/>
        <v>45826</v>
      </c>
      <c r="X10" s="3">
        <f t="shared" si="1"/>
        <v>45827</v>
      </c>
      <c r="Y10" s="3">
        <f t="shared" si="1"/>
        <v>45828</v>
      </c>
      <c r="Z10" s="3">
        <f t="shared" si="1"/>
        <v>45829</v>
      </c>
      <c r="AA10" s="3">
        <f t="shared" si="1"/>
        <v>45830</v>
      </c>
      <c r="AB10" s="3">
        <f t="shared" si="1"/>
        <v>45831</v>
      </c>
      <c r="AC10" s="3">
        <f t="shared" si="1"/>
        <v>45832</v>
      </c>
      <c r="AD10" s="3">
        <f t="shared" si="1"/>
        <v>45833</v>
      </c>
      <c r="AE10" s="3">
        <f t="shared" si="1"/>
        <v>45834</v>
      </c>
      <c r="AF10" s="3">
        <f t="shared" si="1"/>
        <v>45835</v>
      </c>
      <c r="AG10" s="3">
        <f t="shared" si="1"/>
        <v>45836</v>
      </c>
      <c r="AH10" s="3">
        <f t="shared" si="1"/>
        <v>45837</v>
      </c>
      <c r="AI10" s="3">
        <f t="shared" si="1"/>
        <v>45838</v>
      </c>
      <c r="AJ10" s="20"/>
      <c r="AK10" s="20"/>
    </row>
    <row r="11" spans="1:39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">
        <f t="shared" ref="AJ11:AJ40" si="2">COUNTIF(F11:AI11, "P")</f>
        <v>0</v>
      </c>
      <c r="AK11" s="14">
        <f>AJ11*100/25</f>
        <v>0</v>
      </c>
    </row>
    <row r="12" spans="1:39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">
        <f t="shared" si="2"/>
        <v>0</v>
      </c>
      <c r="AK12" s="14">
        <f t="shared" ref="AK12:AK40" si="3">AJ12*100/25</f>
        <v>0</v>
      </c>
    </row>
    <row r="13" spans="1:39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">
        <f t="shared" si="2"/>
        <v>0</v>
      </c>
      <c r="AK13" s="14">
        <f t="shared" si="3"/>
        <v>0</v>
      </c>
    </row>
    <row r="14" spans="1:39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">
        <f t="shared" si="2"/>
        <v>0</v>
      </c>
      <c r="AK14" s="14">
        <f t="shared" si="3"/>
        <v>0</v>
      </c>
    </row>
    <row r="15" spans="1:39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">
        <f t="shared" si="2"/>
        <v>0</v>
      </c>
      <c r="AK15" s="14">
        <f t="shared" si="3"/>
        <v>0</v>
      </c>
    </row>
    <row r="16" spans="1:39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">
        <f t="shared" si="2"/>
        <v>0</v>
      </c>
      <c r="AK16" s="14">
        <f t="shared" si="3"/>
        <v>0</v>
      </c>
    </row>
    <row r="17" spans="1:37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">
        <f t="shared" si="2"/>
        <v>0</v>
      </c>
      <c r="AK17" s="14">
        <f t="shared" si="3"/>
        <v>0</v>
      </c>
    </row>
    <row r="18" spans="1:37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">
        <f t="shared" si="2"/>
        <v>0</v>
      </c>
      <c r="AK18" s="14">
        <f t="shared" si="3"/>
        <v>0</v>
      </c>
    </row>
    <row r="19" spans="1:37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">
        <f t="shared" si="2"/>
        <v>0</v>
      </c>
      <c r="AK19" s="14">
        <f t="shared" si="3"/>
        <v>0</v>
      </c>
    </row>
    <row r="20" spans="1:37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">
        <f t="shared" si="2"/>
        <v>0</v>
      </c>
      <c r="AK20" s="14">
        <f t="shared" si="3"/>
        <v>0</v>
      </c>
    </row>
    <row r="21" spans="1:37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">
        <f t="shared" si="2"/>
        <v>0</v>
      </c>
      <c r="AK21" s="14">
        <f t="shared" si="3"/>
        <v>0</v>
      </c>
    </row>
    <row r="22" spans="1:37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">
        <f t="shared" si="2"/>
        <v>0</v>
      </c>
      <c r="AK22" s="14">
        <f t="shared" si="3"/>
        <v>0</v>
      </c>
    </row>
    <row r="23" spans="1:37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">
        <f t="shared" si="2"/>
        <v>0</v>
      </c>
      <c r="AK23" s="14">
        <f t="shared" si="3"/>
        <v>0</v>
      </c>
    </row>
    <row r="24" spans="1:37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">
        <f t="shared" si="2"/>
        <v>0</v>
      </c>
      <c r="AK24" s="14">
        <f t="shared" si="3"/>
        <v>0</v>
      </c>
    </row>
    <row r="25" spans="1:37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">
        <f t="shared" si="2"/>
        <v>0</v>
      </c>
      <c r="AK25" s="14">
        <f t="shared" si="3"/>
        <v>0</v>
      </c>
    </row>
    <row r="26" spans="1:37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">
        <f t="shared" si="2"/>
        <v>0</v>
      </c>
      <c r="AK26" s="14">
        <f t="shared" si="3"/>
        <v>0</v>
      </c>
    </row>
    <row r="27" spans="1:37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">
        <f t="shared" si="2"/>
        <v>0</v>
      </c>
      <c r="AK27" s="14">
        <f t="shared" si="3"/>
        <v>0</v>
      </c>
    </row>
    <row r="28" spans="1:37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">
        <f t="shared" si="2"/>
        <v>0</v>
      </c>
      <c r="AK28" s="14">
        <f t="shared" si="3"/>
        <v>0</v>
      </c>
    </row>
    <row r="29" spans="1:37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">
        <f t="shared" si="2"/>
        <v>0</v>
      </c>
      <c r="AK29" s="14">
        <f t="shared" si="3"/>
        <v>0</v>
      </c>
    </row>
    <row r="30" spans="1:37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">
        <f t="shared" si="2"/>
        <v>0</v>
      </c>
      <c r="AK30" s="14">
        <f t="shared" si="3"/>
        <v>0</v>
      </c>
    </row>
    <row r="31" spans="1:37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">
        <f t="shared" si="2"/>
        <v>0</v>
      </c>
      <c r="AK31" s="14">
        <f t="shared" si="3"/>
        <v>0</v>
      </c>
    </row>
    <row r="32" spans="1:37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">
        <f t="shared" si="2"/>
        <v>0</v>
      </c>
      <c r="AK32" s="14">
        <f t="shared" si="3"/>
        <v>0</v>
      </c>
    </row>
    <row r="33" spans="1:39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">
        <f t="shared" si="2"/>
        <v>0</v>
      </c>
      <c r="AK33" s="14">
        <f t="shared" si="3"/>
        <v>0</v>
      </c>
    </row>
    <row r="34" spans="1:39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">
        <f t="shared" si="2"/>
        <v>0</v>
      </c>
      <c r="AK34" s="14">
        <f t="shared" si="3"/>
        <v>0</v>
      </c>
    </row>
    <row r="35" spans="1:39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">
        <f t="shared" si="2"/>
        <v>0</v>
      </c>
      <c r="AK35" s="14">
        <f t="shared" si="3"/>
        <v>0</v>
      </c>
    </row>
    <row r="36" spans="1:39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">
        <f t="shared" si="2"/>
        <v>0</v>
      </c>
      <c r="AK36" s="14">
        <f t="shared" si="3"/>
        <v>0</v>
      </c>
    </row>
    <row r="37" spans="1:39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">
        <f t="shared" si="2"/>
        <v>0</v>
      </c>
      <c r="AK37" s="14">
        <f t="shared" si="3"/>
        <v>0</v>
      </c>
    </row>
    <row r="38" spans="1:39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">
        <f t="shared" si="2"/>
        <v>0</v>
      </c>
      <c r="AK38" s="14">
        <f t="shared" si="3"/>
        <v>0</v>
      </c>
    </row>
    <row r="39" spans="1:39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">
        <f t="shared" si="2"/>
        <v>0</v>
      </c>
      <c r="AK39" s="14">
        <f t="shared" si="3"/>
        <v>0</v>
      </c>
    </row>
    <row r="40" spans="1:39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">
        <f t="shared" si="2"/>
        <v>0</v>
      </c>
      <c r="AK40" s="14">
        <f t="shared" si="3"/>
        <v>0</v>
      </c>
    </row>
    <row r="41" spans="1:39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17" t="s">
        <v>42</v>
      </c>
    </row>
    <row r="43" spans="1:39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</row>
    <row r="44" spans="1:3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14">
        <f>E62*100/750</f>
        <v>0</v>
      </c>
    </row>
    <row r="45" spans="1:3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</row>
    <row r="47" spans="1:3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5"/>
      <c r="B62" s="5"/>
      <c r="C62" s="5"/>
      <c r="D62" s="5"/>
      <c r="E62" s="14">
        <f>SUM(AJ11:AJ40)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5">
      <c r="A63" s="5"/>
      <c r="B63" s="5"/>
      <c r="C63" s="5"/>
      <c r="D63" s="5"/>
      <c r="E63" s="2">
        <f>DATE(2025, 6, 30)</f>
        <v>45838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</sheetData>
  <mergeCells count="4">
    <mergeCell ref="G1:L3"/>
    <mergeCell ref="G5:L7"/>
    <mergeCell ref="AJ9:AJ10"/>
    <mergeCell ref="AK9:AK10"/>
  </mergeCells>
  <conditionalFormatting sqref="F6:F7 M5:AC7 G5 E63 F9:AI10">
    <cfRule type="cellIs" dxfId="193" priority="7" operator="equal">
      <formula>"Leave"</formula>
    </cfRule>
    <cfRule type="cellIs" dxfId="192" priority="8" operator="equal">
      <formula>"Absant"</formula>
    </cfRule>
    <cfRule type="cellIs" dxfId="191" priority="9" operator="equal">
      <formula>"Present"</formula>
    </cfRule>
  </conditionalFormatting>
  <conditionalFormatting sqref="F9:AI10">
    <cfRule type="expression" dxfId="190" priority="6">
      <formula>F$9="Sun"</formula>
    </cfRule>
  </conditionalFormatting>
  <conditionalFormatting sqref="F9:AI9">
    <cfRule type="cellIs" dxfId="189" priority="5" operator="equal">
      <formula>"Sun"</formula>
    </cfRule>
  </conditionalFormatting>
  <conditionalFormatting sqref="F11:AI40">
    <cfRule type="cellIs" dxfId="188" priority="1" operator="equal">
      <formula>"L"</formula>
    </cfRule>
    <cfRule type="cellIs" dxfId="187" priority="2" operator="equal">
      <formula>"A"</formula>
    </cfRule>
    <cfRule type="cellIs" dxfId="186" priority="3" operator="equal">
      <formula>"P"</formula>
    </cfRule>
    <cfRule type="expression" dxfId="185" priority="4">
      <formula>F$9="Sun"</formula>
    </cfRule>
  </conditionalFormatting>
  <dataValidations count="1">
    <dataValidation type="list" allowBlank="1" showInputMessage="1" showErrorMessage="1" sqref="F11:AI40">
      <formula1>"P, A, 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64"/>
  <sheetViews>
    <sheetView tabSelected="1" zoomScaleNormal="100" workbookViewId="0">
      <selection activeCell="G12" sqref="G12"/>
    </sheetView>
  </sheetViews>
  <sheetFormatPr defaultRowHeight="15" x14ac:dyDescent="0.25"/>
  <cols>
    <col min="2" max="2" width="5.42578125" customWidth="1"/>
    <col min="3" max="3" width="19.85546875" bestFit="1" customWidth="1"/>
    <col min="4" max="4" width="11.5703125" bestFit="1" customWidth="1"/>
    <col min="5" max="5" width="21.5703125" bestFit="1" customWidth="1"/>
    <col min="6" max="11" width="11.28515625" bestFit="1" customWidth="1"/>
    <col min="12" max="12" width="11.28515625" customWidth="1"/>
    <col min="13" max="36" width="11.28515625" bestFit="1" customWidth="1"/>
    <col min="37" max="37" width="32" bestFit="1" customWidth="1"/>
    <col min="38" max="38" width="30.5703125" bestFit="1" customWidth="1"/>
    <col min="39" max="39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50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Tue</v>
      </c>
      <c r="G9" s="4" t="str">
        <f t="shared" ref="G9:AJ9" si="0">TEXT(G10, "ddd")</f>
        <v>Wed</v>
      </c>
      <c r="H9" s="4" t="str">
        <f t="shared" si="0"/>
        <v>Thu</v>
      </c>
      <c r="I9" s="4" t="str">
        <f t="shared" si="0"/>
        <v>Fri</v>
      </c>
      <c r="J9" s="4" t="str">
        <f t="shared" si="0"/>
        <v>Sat</v>
      </c>
      <c r="K9" s="4" t="str">
        <f t="shared" si="0"/>
        <v>Sun</v>
      </c>
      <c r="L9" s="4" t="str">
        <f t="shared" si="0"/>
        <v>Mon</v>
      </c>
      <c r="M9" s="4" t="str">
        <f t="shared" si="0"/>
        <v>Tue</v>
      </c>
      <c r="N9" s="4" t="str">
        <f t="shared" si="0"/>
        <v>Wed</v>
      </c>
      <c r="O9" s="4" t="str">
        <f t="shared" si="0"/>
        <v>Thu</v>
      </c>
      <c r="P9" s="4" t="str">
        <f t="shared" si="0"/>
        <v>Fri</v>
      </c>
      <c r="Q9" s="4" t="str">
        <f t="shared" si="0"/>
        <v>Sat</v>
      </c>
      <c r="R9" s="4" t="str">
        <f t="shared" si="0"/>
        <v>Sun</v>
      </c>
      <c r="S9" s="4" t="str">
        <f t="shared" si="0"/>
        <v>Mon</v>
      </c>
      <c r="T9" s="4" t="str">
        <f t="shared" si="0"/>
        <v>Tue</v>
      </c>
      <c r="U9" s="4" t="str">
        <f t="shared" si="0"/>
        <v>Wed</v>
      </c>
      <c r="V9" s="4" t="str">
        <f t="shared" si="0"/>
        <v>Thu</v>
      </c>
      <c r="W9" s="4" t="str">
        <f t="shared" si="0"/>
        <v>Fri</v>
      </c>
      <c r="X9" s="4" t="str">
        <f t="shared" si="0"/>
        <v>Sat</v>
      </c>
      <c r="Y9" s="4" t="str">
        <f t="shared" si="0"/>
        <v>Sun</v>
      </c>
      <c r="Z9" s="4" t="str">
        <f t="shared" si="0"/>
        <v>Mon</v>
      </c>
      <c r="AA9" s="4" t="str">
        <f t="shared" si="0"/>
        <v>Tue</v>
      </c>
      <c r="AB9" s="4" t="str">
        <f t="shared" si="0"/>
        <v>Wed</v>
      </c>
      <c r="AC9" s="4" t="str">
        <f t="shared" si="0"/>
        <v>Thu</v>
      </c>
      <c r="AD9" s="4" t="str">
        <f t="shared" si="0"/>
        <v>Fri</v>
      </c>
      <c r="AE9" s="4" t="str">
        <f t="shared" si="0"/>
        <v>Sat</v>
      </c>
      <c r="AF9" s="4" t="str">
        <f t="shared" si="0"/>
        <v>Sun</v>
      </c>
      <c r="AG9" s="4" t="str">
        <f t="shared" si="0"/>
        <v>Mon</v>
      </c>
      <c r="AH9" s="4" t="str">
        <f t="shared" si="0"/>
        <v>Tue</v>
      </c>
      <c r="AI9" s="4" t="str">
        <f t="shared" si="0"/>
        <v>Wed</v>
      </c>
      <c r="AJ9" s="4" t="str">
        <f t="shared" si="0"/>
        <v>Thu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7, 1)</f>
        <v>45839</v>
      </c>
      <c r="G10" s="3">
        <f>IF(F10&lt;E63,F10+1,"""")</f>
        <v>45840</v>
      </c>
      <c r="H10" s="3">
        <f t="shared" ref="H10:AJ10" si="1">IF(G10&lt;$E$63, G10+1, "")</f>
        <v>45841</v>
      </c>
      <c r="I10" s="3">
        <f t="shared" si="1"/>
        <v>45842</v>
      </c>
      <c r="J10" s="3">
        <f t="shared" si="1"/>
        <v>45843</v>
      </c>
      <c r="K10" s="3">
        <f t="shared" si="1"/>
        <v>45844</v>
      </c>
      <c r="L10" s="3">
        <f t="shared" si="1"/>
        <v>45845</v>
      </c>
      <c r="M10" s="3">
        <f t="shared" si="1"/>
        <v>45846</v>
      </c>
      <c r="N10" s="3">
        <f t="shared" si="1"/>
        <v>45847</v>
      </c>
      <c r="O10" s="3">
        <f t="shared" si="1"/>
        <v>45848</v>
      </c>
      <c r="P10" s="3">
        <f t="shared" si="1"/>
        <v>45849</v>
      </c>
      <c r="Q10" s="3">
        <f t="shared" si="1"/>
        <v>45850</v>
      </c>
      <c r="R10" s="3">
        <f t="shared" si="1"/>
        <v>45851</v>
      </c>
      <c r="S10" s="3">
        <f t="shared" si="1"/>
        <v>45852</v>
      </c>
      <c r="T10" s="3">
        <f t="shared" si="1"/>
        <v>45853</v>
      </c>
      <c r="U10" s="3">
        <f t="shared" si="1"/>
        <v>45854</v>
      </c>
      <c r="V10" s="3">
        <f t="shared" si="1"/>
        <v>45855</v>
      </c>
      <c r="W10" s="3">
        <f t="shared" si="1"/>
        <v>45856</v>
      </c>
      <c r="X10" s="3">
        <f t="shared" si="1"/>
        <v>45857</v>
      </c>
      <c r="Y10" s="3">
        <f t="shared" si="1"/>
        <v>45858</v>
      </c>
      <c r="Z10" s="3">
        <f t="shared" si="1"/>
        <v>45859</v>
      </c>
      <c r="AA10" s="3">
        <f t="shared" si="1"/>
        <v>45860</v>
      </c>
      <c r="AB10" s="3">
        <f t="shared" si="1"/>
        <v>45861</v>
      </c>
      <c r="AC10" s="3">
        <f t="shared" si="1"/>
        <v>45862</v>
      </c>
      <c r="AD10" s="3">
        <f t="shared" si="1"/>
        <v>45863</v>
      </c>
      <c r="AE10" s="3">
        <f t="shared" si="1"/>
        <v>45864</v>
      </c>
      <c r="AF10" s="3">
        <f t="shared" si="1"/>
        <v>45865</v>
      </c>
      <c r="AG10" s="3">
        <f t="shared" si="1"/>
        <v>45866</v>
      </c>
      <c r="AH10" s="3">
        <f t="shared" si="1"/>
        <v>45867</v>
      </c>
      <c r="AI10" s="3">
        <f t="shared" si="1"/>
        <v>45868</v>
      </c>
      <c r="AJ10" s="3">
        <f t="shared" si="1"/>
        <v>45869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AK11*100/27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AK12*100/27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7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E62*100/810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7, 31)</f>
        <v>45869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K9:AK10"/>
    <mergeCell ref="AL9:AL10"/>
  </mergeCells>
  <conditionalFormatting sqref="F6:F7 M5:AC7 G5 E63 F9:AJ10 F11:AE40">
    <cfRule type="cellIs" dxfId="184" priority="40" operator="equal">
      <formula>"Leave"</formula>
    </cfRule>
    <cfRule type="cellIs" dxfId="183" priority="41" operator="equal">
      <formula>"Absant"</formula>
    </cfRule>
    <cfRule type="cellIs" dxfId="182" priority="42" operator="equal">
      <formula>"Present"</formula>
    </cfRule>
  </conditionalFormatting>
  <conditionalFormatting sqref="F9:AJ10 G11:AD40">
    <cfRule type="expression" dxfId="181" priority="39">
      <formula>F$9="Sun"</formula>
    </cfRule>
  </conditionalFormatting>
  <conditionalFormatting sqref="F9:AJ9">
    <cfRule type="cellIs" dxfId="180" priority="38" operator="equal">
      <formula>"Sun"</formula>
    </cfRule>
  </conditionalFormatting>
  <conditionalFormatting sqref="F11:AE40">
    <cfRule type="cellIs" dxfId="179" priority="32" operator="equal">
      <formula>"L"</formula>
    </cfRule>
    <cfRule type="cellIs" dxfId="178" priority="33" operator="equal">
      <formula>"L"</formula>
    </cfRule>
    <cfRule type="cellIs" dxfId="177" priority="34" operator="equal">
      <formula>"L"</formula>
    </cfRule>
    <cfRule type="cellIs" dxfId="176" priority="35" operator="equal">
      <formula>"A"</formula>
    </cfRule>
    <cfRule type="cellIs" dxfId="175" priority="36" operator="equal">
      <formula>"P"</formula>
    </cfRule>
    <cfRule type="cellIs" dxfId="174" priority="37" operator="equal">
      <formula>"P"</formula>
    </cfRule>
  </conditionalFormatting>
  <conditionalFormatting sqref="F11:J40">
    <cfRule type="expression" dxfId="173" priority="44">
      <formula>#REF!="Sun"</formula>
    </cfRule>
  </conditionalFormatting>
  <conditionalFormatting sqref="H11:M40">
    <cfRule type="expression" dxfId="172" priority="31">
      <formula>#REF!="Sun"</formula>
    </cfRule>
  </conditionalFormatting>
  <conditionalFormatting sqref="O11:T40">
    <cfRule type="expression" dxfId="171" priority="30">
      <formula>#REF!="Sun"</formula>
    </cfRule>
  </conditionalFormatting>
  <conditionalFormatting sqref="V11:AA40">
    <cfRule type="expression" dxfId="170" priority="29">
      <formula>#REF!="Sun"</formula>
    </cfRule>
  </conditionalFormatting>
  <conditionalFormatting sqref="AC11:AD40">
    <cfRule type="expression" dxfId="169" priority="28">
      <formula>#REF!="Sun"</formula>
    </cfRule>
  </conditionalFormatting>
  <conditionalFormatting sqref="J11:O40">
    <cfRule type="expression" dxfId="168" priority="27">
      <formula>#REF!="Sun"</formula>
    </cfRule>
  </conditionalFormatting>
  <conditionalFormatting sqref="Q11:V40">
    <cfRule type="expression" dxfId="167" priority="26">
      <formula>#REF!="Sun"</formula>
    </cfRule>
  </conditionalFormatting>
  <conditionalFormatting sqref="X11:AC40">
    <cfRule type="expression" dxfId="166" priority="25">
      <formula>#REF!="Sun"</formula>
    </cfRule>
  </conditionalFormatting>
  <conditionalFormatting sqref="AE11:AJ40">
    <cfRule type="cellIs" dxfId="165" priority="21" operator="equal">
      <formula>"Leave"</formula>
    </cfRule>
    <cfRule type="cellIs" dxfId="164" priority="22" operator="equal">
      <formula>"Absant"</formula>
    </cfRule>
    <cfRule type="cellIs" dxfId="163" priority="23" operator="equal">
      <formula>"Present"</formula>
    </cfRule>
  </conditionalFormatting>
  <conditionalFormatting sqref="AE11:AJ40">
    <cfRule type="cellIs" dxfId="162" priority="15" operator="equal">
      <formula>"L"</formula>
    </cfRule>
    <cfRule type="cellIs" dxfId="161" priority="16" operator="equal">
      <formula>"L"</formula>
    </cfRule>
    <cfRule type="cellIs" dxfId="160" priority="17" operator="equal">
      <formula>"L"</formula>
    </cfRule>
    <cfRule type="cellIs" dxfId="159" priority="18" operator="equal">
      <formula>"A"</formula>
    </cfRule>
    <cfRule type="cellIs" dxfId="158" priority="19" operator="equal">
      <formula>"P"</formula>
    </cfRule>
    <cfRule type="cellIs" dxfId="157" priority="20" operator="equal">
      <formula>"P"</formula>
    </cfRule>
  </conditionalFormatting>
  <conditionalFormatting sqref="AE11:AJ40">
    <cfRule type="expression" dxfId="156" priority="24">
      <formula>#REF!="Sun"</formula>
    </cfRule>
  </conditionalFormatting>
  <conditionalFormatting sqref="F11:AJ40">
    <cfRule type="expression" dxfId="155" priority="14">
      <formula>F$9="Sun"</formula>
    </cfRule>
  </conditionalFormatting>
  <conditionalFormatting sqref="L11:Q40">
    <cfRule type="expression" dxfId="154" priority="13">
      <formula>#REF!="Sun"</formula>
    </cfRule>
  </conditionalFormatting>
  <conditionalFormatting sqref="S11:X40">
    <cfRule type="expression" dxfId="153" priority="12">
      <formula>#REF!="Sun"</formula>
    </cfRule>
  </conditionalFormatting>
  <conditionalFormatting sqref="Z11:AE40">
    <cfRule type="expression" dxfId="152" priority="11">
      <formula>#REF!="Sun"</formula>
    </cfRule>
  </conditionalFormatting>
  <conditionalFormatting sqref="AG11:AJ40">
    <cfRule type="cellIs" dxfId="151" priority="7" operator="equal">
      <formula>"Leave"</formula>
    </cfRule>
    <cfRule type="cellIs" dxfId="150" priority="8" operator="equal">
      <formula>"Absant"</formula>
    </cfRule>
    <cfRule type="cellIs" dxfId="149" priority="9" operator="equal">
      <formula>"Present"</formula>
    </cfRule>
  </conditionalFormatting>
  <conditionalFormatting sqref="AG11:AJ40">
    <cfRule type="cellIs" dxfId="148" priority="1" operator="equal">
      <formula>"L"</formula>
    </cfRule>
    <cfRule type="cellIs" dxfId="147" priority="2" operator="equal">
      <formula>"L"</formula>
    </cfRule>
    <cfRule type="cellIs" dxfId="146" priority="3" operator="equal">
      <formula>"L"</formula>
    </cfRule>
    <cfRule type="cellIs" dxfId="145" priority="4" operator="equal">
      <formula>"A"</formula>
    </cfRule>
    <cfRule type="cellIs" dxfId="144" priority="5" operator="equal">
      <formula>"P"</formula>
    </cfRule>
    <cfRule type="cellIs" dxfId="143" priority="6" operator="equal">
      <formula>"P"</formula>
    </cfRule>
  </conditionalFormatting>
  <conditionalFormatting sqref="AG11:AJ40">
    <cfRule type="expression" dxfId="142" priority="10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N64"/>
  <sheetViews>
    <sheetView zoomScaleNormal="100" workbookViewId="0">
      <selection activeCell="F11" sqref="F11"/>
    </sheetView>
  </sheetViews>
  <sheetFormatPr defaultRowHeight="15" x14ac:dyDescent="0.25"/>
  <cols>
    <col min="2" max="2" width="5.28515625" customWidth="1"/>
    <col min="3" max="3" width="19.85546875" customWidth="1"/>
    <col min="4" max="4" width="11.5703125" bestFit="1" customWidth="1"/>
    <col min="5" max="5" width="21.5703125" customWidth="1"/>
    <col min="6" max="11" width="11.28515625" bestFit="1" customWidth="1"/>
    <col min="12" max="12" width="11.28515625" customWidth="1"/>
    <col min="13" max="36" width="11.28515625" bestFit="1" customWidth="1"/>
    <col min="37" max="37" width="32" bestFit="1" customWidth="1"/>
    <col min="38" max="38" width="30.5703125" bestFit="1" customWidth="1"/>
    <col min="39" max="39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51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Fri</v>
      </c>
      <c r="G9" s="4" t="str">
        <f t="shared" ref="G9:AJ9" si="0">TEXT(G10, "ddd")</f>
        <v>Sat</v>
      </c>
      <c r="H9" s="4" t="str">
        <f t="shared" si="0"/>
        <v>Sun</v>
      </c>
      <c r="I9" s="4" t="str">
        <f t="shared" si="0"/>
        <v>Mon</v>
      </c>
      <c r="J9" s="4" t="str">
        <f t="shared" si="0"/>
        <v>Tue</v>
      </c>
      <c r="K9" s="4" t="str">
        <f t="shared" si="0"/>
        <v>Wed</v>
      </c>
      <c r="L9" s="4" t="str">
        <f t="shared" si="0"/>
        <v>Thu</v>
      </c>
      <c r="M9" s="4" t="str">
        <f t="shared" si="0"/>
        <v>Fri</v>
      </c>
      <c r="N9" s="4" t="str">
        <f t="shared" si="0"/>
        <v>Sat</v>
      </c>
      <c r="O9" s="4" t="str">
        <f t="shared" si="0"/>
        <v>Sun</v>
      </c>
      <c r="P9" s="4" t="str">
        <f t="shared" si="0"/>
        <v>Mon</v>
      </c>
      <c r="Q9" s="4" t="str">
        <f t="shared" si="0"/>
        <v>Tue</v>
      </c>
      <c r="R9" s="4" t="str">
        <f t="shared" si="0"/>
        <v>Wed</v>
      </c>
      <c r="S9" s="4" t="str">
        <f t="shared" si="0"/>
        <v>Thu</v>
      </c>
      <c r="T9" s="4" t="str">
        <f t="shared" si="0"/>
        <v>Fri</v>
      </c>
      <c r="U9" s="4" t="str">
        <f t="shared" si="0"/>
        <v>Sat</v>
      </c>
      <c r="V9" s="4" t="str">
        <f t="shared" si="0"/>
        <v>Sun</v>
      </c>
      <c r="W9" s="4" t="str">
        <f t="shared" si="0"/>
        <v>Mon</v>
      </c>
      <c r="X9" s="4" t="str">
        <f t="shared" si="0"/>
        <v>Tue</v>
      </c>
      <c r="Y9" s="4" t="str">
        <f t="shared" si="0"/>
        <v>Wed</v>
      </c>
      <c r="Z9" s="4" t="str">
        <f t="shared" si="0"/>
        <v>Thu</v>
      </c>
      <c r="AA9" s="4" t="str">
        <f t="shared" si="0"/>
        <v>Fri</v>
      </c>
      <c r="AB9" s="4" t="str">
        <f t="shared" si="0"/>
        <v>Sat</v>
      </c>
      <c r="AC9" s="4" t="str">
        <f t="shared" si="0"/>
        <v>Sun</v>
      </c>
      <c r="AD9" s="4" t="str">
        <f t="shared" si="0"/>
        <v>Mon</v>
      </c>
      <c r="AE9" s="4" t="str">
        <f t="shared" si="0"/>
        <v>Tue</v>
      </c>
      <c r="AF9" s="4" t="str">
        <f t="shared" si="0"/>
        <v>Wed</v>
      </c>
      <c r="AG9" s="4" t="str">
        <f t="shared" si="0"/>
        <v>Thu</v>
      </c>
      <c r="AH9" s="4" t="str">
        <f t="shared" si="0"/>
        <v>Fri</v>
      </c>
      <c r="AI9" s="4" t="str">
        <f t="shared" si="0"/>
        <v>Sat</v>
      </c>
      <c r="AJ9" s="4" t="str">
        <f t="shared" si="0"/>
        <v>Sun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8, 1)</f>
        <v>45870</v>
      </c>
      <c r="G10" s="3">
        <f>IF(F10&lt;E63,F10+1,"""")</f>
        <v>45871</v>
      </c>
      <c r="H10" s="3">
        <f t="shared" ref="H10:AJ10" si="1">IF(G10&lt;$E$63, G10+1, "")</f>
        <v>45872</v>
      </c>
      <c r="I10" s="3">
        <f t="shared" si="1"/>
        <v>45873</v>
      </c>
      <c r="J10" s="3">
        <f t="shared" si="1"/>
        <v>45874</v>
      </c>
      <c r="K10" s="3">
        <f t="shared" si="1"/>
        <v>45875</v>
      </c>
      <c r="L10" s="3">
        <f t="shared" si="1"/>
        <v>45876</v>
      </c>
      <c r="M10" s="3">
        <f t="shared" si="1"/>
        <v>45877</v>
      </c>
      <c r="N10" s="3">
        <f t="shared" si="1"/>
        <v>45878</v>
      </c>
      <c r="O10" s="3">
        <f t="shared" si="1"/>
        <v>45879</v>
      </c>
      <c r="P10" s="3">
        <f t="shared" si="1"/>
        <v>45880</v>
      </c>
      <c r="Q10" s="3">
        <f t="shared" si="1"/>
        <v>45881</v>
      </c>
      <c r="R10" s="3">
        <f t="shared" si="1"/>
        <v>45882</v>
      </c>
      <c r="S10" s="3">
        <f t="shared" si="1"/>
        <v>45883</v>
      </c>
      <c r="T10" s="3">
        <f t="shared" si="1"/>
        <v>45884</v>
      </c>
      <c r="U10" s="3">
        <f t="shared" si="1"/>
        <v>45885</v>
      </c>
      <c r="V10" s="3">
        <f t="shared" si="1"/>
        <v>45886</v>
      </c>
      <c r="W10" s="3">
        <f t="shared" si="1"/>
        <v>45887</v>
      </c>
      <c r="X10" s="3">
        <f t="shared" si="1"/>
        <v>45888</v>
      </c>
      <c r="Y10" s="3">
        <f t="shared" si="1"/>
        <v>45889</v>
      </c>
      <c r="Z10" s="3">
        <f t="shared" si="1"/>
        <v>45890</v>
      </c>
      <c r="AA10" s="3">
        <f t="shared" si="1"/>
        <v>45891</v>
      </c>
      <c r="AB10" s="3">
        <f t="shared" si="1"/>
        <v>45892</v>
      </c>
      <c r="AC10" s="3">
        <f t="shared" si="1"/>
        <v>45893</v>
      </c>
      <c r="AD10" s="3">
        <f t="shared" si="1"/>
        <v>45894</v>
      </c>
      <c r="AE10" s="3">
        <f t="shared" si="1"/>
        <v>45895</v>
      </c>
      <c r="AF10" s="3">
        <f t="shared" si="1"/>
        <v>45896</v>
      </c>
      <c r="AG10" s="3">
        <f t="shared" si="1"/>
        <v>45897</v>
      </c>
      <c r="AH10" s="3">
        <f t="shared" si="1"/>
        <v>45898</v>
      </c>
      <c r="AI10" s="3">
        <f t="shared" si="1"/>
        <v>45899</v>
      </c>
      <c r="AJ10" s="3">
        <f t="shared" si="1"/>
        <v>45900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AK11*100/26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AK12*100/26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7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E62*100/780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8, 31)</f>
        <v>45900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K9:AK10"/>
    <mergeCell ref="AL9:AL10"/>
  </mergeCells>
  <conditionalFormatting sqref="F6:F7 M5:AC7 G5 E63 F9:AJ10 F11:AI40">
    <cfRule type="cellIs" dxfId="141" priority="31" operator="equal">
      <formula>"Leave"</formula>
    </cfRule>
    <cfRule type="cellIs" dxfId="140" priority="32" operator="equal">
      <formula>"Absant"</formula>
    </cfRule>
    <cfRule type="cellIs" dxfId="139" priority="33" operator="equal">
      <formula>"Present"</formula>
    </cfRule>
  </conditionalFormatting>
  <conditionalFormatting sqref="F9:AJ10 G11:AD40">
    <cfRule type="expression" dxfId="138" priority="30">
      <formula>F$9="Sun"</formula>
    </cfRule>
  </conditionalFormatting>
  <conditionalFormatting sqref="F9:AJ9">
    <cfRule type="cellIs" dxfId="137" priority="29" operator="equal">
      <formula>"Sun"</formula>
    </cfRule>
  </conditionalFormatting>
  <conditionalFormatting sqref="F11:AI40">
    <cfRule type="cellIs" dxfId="136" priority="23" operator="equal">
      <formula>"L"</formula>
    </cfRule>
    <cfRule type="cellIs" dxfId="135" priority="24" operator="equal">
      <formula>"L"</formula>
    </cfRule>
    <cfRule type="cellIs" dxfId="134" priority="25" operator="equal">
      <formula>"L"</formula>
    </cfRule>
    <cfRule type="cellIs" dxfId="133" priority="26" operator="equal">
      <formula>"A"</formula>
    </cfRule>
    <cfRule type="cellIs" dxfId="132" priority="27" operator="equal">
      <formula>"P"</formula>
    </cfRule>
    <cfRule type="cellIs" dxfId="131" priority="28" operator="equal">
      <formula>"P"</formula>
    </cfRule>
  </conditionalFormatting>
  <conditionalFormatting sqref="F11:H40">
    <cfRule type="expression" dxfId="130" priority="35">
      <formula>#REF!="Sun"</formula>
    </cfRule>
  </conditionalFormatting>
  <conditionalFormatting sqref="H11:M40">
    <cfRule type="expression" dxfId="129" priority="22">
      <formula>#REF!="Sun"</formula>
    </cfRule>
  </conditionalFormatting>
  <conditionalFormatting sqref="O11:T40">
    <cfRule type="expression" dxfId="128" priority="21">
      <formula>#REF!="Sun"</formula>
    </cfRule>
  </conditionalFormatting>
  <conditionalFormatting sqref="V11:AA40">
    <cfRule type="expression" dxfId="127" priority="20">
      <formula>#REF!="Sun"</formula>
    </cfRule>
  </conditionalFormatting>
  <conditionalFormatting sqref="AC11:AD40">
    <cfRule type="expression" dxfId="126" priority="19">
      <formula>#REF!="Sun"</formula>
    </cfRule>
  </conditionalFormatting>
  <conditionalFormatting sqref="J11:O40">
    <cfRule type="expression" dxfId="125" priority="18">
      <formula>#REF!="Sun"</formula>
    </cfRule>
  </conditionalFormatting>
  <conditionalFormatting sqref="Q11:V40">
    <cfRule type="expression" dxfId="124" priority="17">
      <formula>#REF!="Sun"</formula>
    </cfRule>
  </conditionalFormatting>
  <conditionalFormatting sqref="X11:AC40">
    <cfRule type="expression" dxfId="123" priority="16">
      <formula>#REF!="Sun"</formula>
    </cfRule>
  </conditionalFormatting>
  <conditionalFormatting sqref="AE11:AJ40">
    <cfRule type="cellIs" dxfId="122" priority="12" operator="equal">
      <formula>"Leave"</formula>
    </cfRule>
    <cfRule type="cellIs" dxfId="121" priority="13" operator="equal">
      <formula>"Absant"</formula>
    </cfRule>
    <cfRule type="cellIs" dxfId="120" priority="14" operator="equal">
      <formula>"Present"</formula>
    </cfRule>
  </conditionalFormatting>
  <conditionalFormatting sqref="AE11:AJ40">
    <cfRule type="cellIs" dxfId="119" priority="6" operator="equal">
      <formula>"L"</formula>
    </cfRule>
    <cfRule type="cellIs" dxfId="118" priority="7" operator="equal">
      <formula>"L"</formula>
    </cfRule>
    <cfRule type="cellIs" dxfId="117" priority="8" operator="equal">
      <formula>"L"</formula>
    </cfRule>
    <cfRule type="cellIs" dxfId="116" priority="9" operator="equal">
      <formula>"A"</formula>
    </cfRule>
    <cfRule type="cellIs" dxfId="115" priority="10" operator="equal">
      <formula>"P"</formula>
    </cfRule>
    <cfRule type="cellIs" dxfId="114" priority="11" operator="equal">
      <formula>"P"</formula>
    </cfRule>
  </conditionalFormatting>
  <conditionalFormatting sqref="AE11:AJ40">
    <cfRule type="expression" dxfId="113" priority="15">
      <formula>#REF!="Sun"</formula>
    </cfRule>
  </conditionalFormatting>
  <conditionalFormatting sqref="F11:AJ40">
    <cfRule type="expression" dxfId="112" priority="5">
      <formula>F$9="Sun"</formula>
    </cfRule>
  </conditionalFormatting>
  <conditionalFormatting sqref="I11:N40">
    <cfRule type="expression" dxfId="111" priority="4">
      <formula>#REF!="Sun"</formula>
    </cfRule>
  </conditionalFormatting>
  <conditionalFormatting sqref="P11:U40">
    <cfRule type="expression" dxfId="110" priority="3">
      <formula>#REF!="Sun"</formula>
    </cfRule>
  </conditionalFormatting>
  <conditionalFormatting sqref="W11:AB40">
    <cfRule type="expression" dxfId="109" priority="2">
      <formula>#REF!="Sun"</formula>
    </cfRule>
  </conditionalFormatting>
  <conditionalFormatting sqref="AD11:AI40">
    <cfRule type="expression" dxfId="108" priority="1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M64"/>
  <sheetViews>
    <sheetView topLeftCell="AB28" zoomScaleNormal="100" workbookViewId="0">
      <selection activeCell="AI41" sqref="AI41"/>
    </sheetView>
  </sheetViews>
  <sheetFormatPr defaultRowHeight="15" x14ac:dyDescent="0.25"/>
  <cols>
    <col min="2" max="2" width="5.28515625" customWidth="1"/>
    <col min="3" max="3" width="19.85546875" customWidth="1"/>
    <col min="4" max="4" width="11.5703125" customWidth="1"/>
    <col min="5" max="5" width="21.5703125" bestFit="1" customWidth="1"/>
    <col min="6" max="35" width="11.28515625" bestFit="1" customWidth="1"/>
    <col min="36" max="36" width="32" bestFit="1" customWidth="1"/>
    <col min="37" max="37" width="30.5703125" bestFit="1" customWidth="1"/>
    <col min="38" max="38" width="24.28515625" bestFit="1" customWidth="1"/>
  </cols>
  <sheetData>
    <row r="1" spans="1:39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5"/>
      <c r="B5" s="12"/>
      <c r="C5" s="1" t="s">
        <v>34</v>
      </c>
      <c r="D5" s="5"/>
      <c r="E5" s="5"/>
      <c r="F5" s="5"/>
      <c r="G5" s="21" t="s">
        <v>48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</row>
    <row r="8" spans="1:3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5"/>
      <c r="B9" s="5"/>
      <c r="C9" s="5"/>
      <c r="D9" s="5"/>
      <c r="E9" s="5"/>
      <c r="F9" s="4" t="str">
        <f t="shared" ref="F9:AI9" si="0">TEXT(F10, "ddd")</f>
        <v>Mon</v>
      </c>
      <c r="G9" s="4" t="str">
        <f t="shared" si="0"/>
        <v>Tue</v>
      </c>
      <c r="H9" s="4" t="str">
        <f t="shared" si="0"/>
        <v>Wed</v>
      </c>
      <c r="I9" s="4" t="str">
        <f t="shared" si="0"/>
        <v>Thu</v>
      </c>
      <c r="J9" s="4" t="str">
        <f t="shared" si="0"/>
        <v>Fri</v>
      </c>
      <c r="K9" s="4" t="str">
        <f t="shared" si="0"/>
        <v>Sat</v>
      </c>
      <c r="L9" s="4" t="str">
        <f t="shared" si="0"/>
        <v>Sun</v>
      </c>
      <c r="M9" s="4" t="str">
        <f t="shared" si="0"/>
        <v>Mon</v>
      </c>
      <c r="N9" s="4" t="str">
        <f t="shared" si="0"/>
        <v>Tue</v>
      </c>
      <c r="O9" s="4" t="str">
        <f t="shared" si="0"/>
        <v>Wed</v>
      </c>
      <c r="P9" s="4" t="str">
        <f t="shared" si="0"/>
        <v>Thu</v>
      </c>
      <c r="Q9" s="4" t="str">
        <f t="shared" si="0"/>
        <v>Fri</v>
      </c>
      <c r="R9" s="4" t="str">
        <f t="shared" si="0"/>
        <v>Sat</v>
      </c>
      <c r="S9" s="4" t="str">
        <f t="shared" si="0"/>
        <v>Sun</v>
      </c>
      <c r="T9" s="4" t="str">
        <f t="shared" si="0"/>
        <v>Mon</v>
      </c>
      <c r="U9" s="4" t="str">
        <f t="shared" si="0"/>
        <v>Tue</v>
      </c>
      <c r="V9" s="4" t="str">
        <f t="shared" si="0"/>
        <v>Wed</v>
      </c>
      <c r="W9" s="4" t="str">
        <f t="shared" si="0"/>
        <v>Thu</v>
      </c>
      <c r="X9" s="4" t="str">
        <f t="shared" si="0"/>
        <v>Fri</v>
      </c>
      <c r="Y9" s="4" t="str">
        <f t="shared" si="0"/>
        <v>Sat</v>
      </c>
      <c r="Z9" s="4" t="str">
        <f t="shared" si="0"/>
        <v>Sun</v>
      </c>
      <c r="AA9" s="4" t="str">
        <f t="shared" si="0"/>
        <v>Mon</v>
      </c>
      <c r="AB9" s="4" t="str">
        <f t="shared" si="0"/>
        <v>Tue</v>
      </c>
      <c r="AC9" s="4" t="str">
        <f t="shared" si="0"/>
        <v>Wed</v>
      </c>
      <c r="AD9" s="4" t="str">
        <f t="shared" si="0"/>
        <v>Thu</v>
      </c>
      <c r="AE9" s="4" t="str">
        <f t="shared" si="0"/>
        <v>Fri</v>
      </c>
      <c r="AF9" s="4" t="str">
        <f t="shared" si="0"/>
        <v>Sat</v>
      </c>
      <c r="AG9" s="4" t="str">
        <f t="shared" si="0"/>
        <v>Sun</v>
      </c>
      <c r="AH9" s="4" t="str">
        <f t="shared" si="0"/>
        <v>Mon</v>
      </c>
      <c r="AI9" s="4" t="str">
        <f t="shared" si="0"/>
        <v>Tue</v>
      </c>
      <c r="AJ9" s="20" t="s">
        <v>40</v>
      </c>
      <c r="AK9" s="20" t="s">
        <v>41</v>
      </c>
    </row>
    <row r="10" spans="1:39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9, 1)</f>
        <v>45901</v>
      </c>
      <c r="G10" s="3">
        <f>IF(F10&lt;E63,F10+1,"""")</f>
        <v>45902</v>
      </c>
      <c r="H10" s="3">
        <f t="shared" ref="H10:AI10" si="1">IF(G10&lt;$E$63, G10+1, "")</f>
        <v>45903</v>
      </c>
      <c r="I10" s="3">
        <f t="shared" si="1"/>
        <v>45904</v>
      </c>
      <c r="J10" s="3">
        <f t="shared" si="1"/>
        <v>45905</v>
      </c>
      <c r="K10" s="3">
        <f t="shared" si="1"/>
        <v>45906</v>
      </c>
      <c r="L10" s="3">
        <f t="shared" si="1"/>
        <v>45907</v>
      </c>
      <c r="M10" s="3">
        <f t="shared" si="1"/>
        <v>45908</v>
      </c>
      <c r="N10" s="3">
        <f t="shared" si="1"/>
        <v>45909</v>
      </c>
      <c r="O10" s="3">
        <f t="shared" si="1"/>
        <v>45910</v>
      </c>
      <c r="P10" s="3">
        <f t="shared" si="1"/>
        <v>45911</v>
      </c>
      <c r="Q10" s="3">
        <f t="shared" si="1"/>
        <v>45912</v>
      </c>
      <c r="R10" s="3">
        <f t="shared" si="1"/>
        <v>45913</v>
      </c>
      <c r="S10" s="3">
        <f t="shared" si="1"/>
        <v>45914</v>
      </c>
      <c r="T10" s="3">
        <f t="shared" si="1"/>
        <v>45915</v>
      </c>
      <c r="U10" s="3">
        <f t="shared" si="1"/>
        <v>45916</v>
      </c>
      <c r="V10" s="3">
        <f t="shared" si="1"/>
        <v>45917</v>
      </c>
      <c r="W10" s="3">
        <f t="shared" si="1"/>
        <v>45918</v>
      </c>
      <c r="X10" s="3">
        <f t="shared" si="1"/>
        <v>45919</v>
      </c>
      <c r="Y10" s="3">
        <f t="shared" si="1"/>
        <v>45920</v>
      </c>
      <c r="Z10" s="3">
        <f t="shared" si="1"/>
        <v>45921</v>
      </c>
      <c r="AA10" s="3">
        <f t="shared" si="1"/>
        <v>45922</v>
      </c>
      <c r="AB10" s="3">
        <f t="shared" si="1"/>
        <v>45923</v>
      </c>
      <c r="AC10" s="3">
        <f t="shared" si="1"/>
        <v>45924</v>
      </c>
      <c r="AD10" s="3">
        <f t="shared" si="1"/>
        <v>45925</v>
      </c>
      <c r="AE10" s="3">
        <f t="shared" si="1"/>
        <v>45926</v>
      </c>
      <c r="AF10" s="3">
        <f t="shared" si="1"/>
        <v>45927</v>
      </c>
      <c r="AG10" s="3">
        <f t="shared" si="1"/>
        <v>45928</v>
      </c>
      <c r="AH10" s="3">
        <f t="shared" si="1"/>
        <v>45929</v>
      </c>
      <c r="AI10" s="3">
        <f t="shared" si="1"/>
        <v>45930</v>
      </c>
      <c r="AJ10" s="20"/>
      <c r="AK10" s="20"/>
    </row>
    <row r="11" spans="1:39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">
        <f t="shared" ref="AJ11:AJ40" si="2">COUNTIF(F11:AI11, "P")</f>
        <v>0</v>
      </c>
      <c r="AK11" s="14">
        <f>AJ11*100/26</f>
        <v>0</v>
      </c>
    </row>
    <row r="12" spans="1:39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">
        <f t="shared" si="2"/>
        <v>0</v>
      </c>
      <c r="AK12" s="14">
        <f t="shared" ref="AK12:AK40" si="3">AJ12*100/26</f>
        <v>0</v>
      </c>
    </row>
    <row r="13" spans="1:39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">
        <f t="shared" si="2"/>
        <v>0</v>
      </c>
      <c r="AK13" s="14">
        <f t="shared" si="3"/>
        <v>0</v>
      </c>
    </row>
    <row r="14" spans="1:39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">
        <f t="shared" si="2"/>
        <v>0</v>
      </c>
      <c r="AK14" s="14">
        <f t="shared" si="3"/>
        <v>0</v>
      </c>
    </row>
    <row r="15" spans="1:39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">
        <f t="shared" si="2"/>
        <v>0</v>
      </c>
      <c r="AK15" s="14">
        <f t="shared" si="3"/>
        <v>0</v>
      </c>
    </row>
    <row r="16" spans="1:39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">
        <f t="shared" si="2"/>
        <v>0</v>
      </c>
      <c r="AK16" s="14">
        <f t="shared" si="3"/>
        <v>0</v>
      </c>
    </row>
    <row r="17" spans="1:37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">
        <f t="shared" si="2"/>
        <v>0</v>
      </c>
      <c r="AK17" s="14">
        <f t="shared" si="3"/>
        <v>0</v>
      </c>
    </row>
    <row r="18" spans="1:37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">
        <f t="shared" si="2"/>
        <v>0</v>
      </c>
      <c r="AK18" s="14">
        <f t="shared" si="3"/>
        <v>0</v>
      </c>
    </row>
    <row r="19" spans="1:37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">
        <f t="shared" si="2"/>
        <v>0</v>
      </c>
      <c r="AK19" s="14">
        <f t="shared" si="3"/>
        <v>0</v>
      </c>
    </row>
    <row r="20" spans="1:37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">
        <f t="shared" si="2"/>
        <v>0</v>
      </c>
      <c r="AK20" s="14">
        <f t="shared" si="3"/>
        <v>0</v>
      </c>
    </row>
    <row r="21" spans="1:37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">
        <f t="shared" si="2"/>
        <v>0</v>
      </c>
      <c r="AK21" s="14">
        <f t="shared" si="3"/>
        <v>0</v>
      </c>
    </row>
    <row r="22" spans="1:37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">
        <f t="shared" si="2"/>
        <v>0</v>
      </c>
      <c r="AK22" s="14">
        <f t="shared" si="3"/>
        <v>0</v>
      </c>
    </row>
    <row r="23" spans="1:37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">
        <f t="shared" si="2"/>
        <v>0</v>
      </c>
      <c r="AK23" s="14">
        <f t="shared" si="3"/>
        <v>0</v>
      </c>
    </row>
    <row r="24" spans="1:37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">
        <f t="shared" si="2"/>
        <v>0</v>
      </c>
      <c r="AK24" s="14">
        <f t="shared" si="3"/>
        <v>0</v>
      </c>
    </row>
    <row r="25" spans="1:37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">
        <f t="shared" si="2"/>
        <v>0</v>
      </c>
      <c r="AK25" s="14">
        <f t="shared" si="3"/>
        <v>0</v>
      </c>
    </row>
    <row r="26" spans="1:37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">
        <f t="shared" si="2"/>
        <v>0</v>
      </c>
      <c r="AK26" s="14">
        <f t="shared" si="3"/>
        <v>0</v>
      </c>
    </row>
    <row r="27" spans="1:37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">
        <f t="shared" si="2"/>
        <v>0</v>
      </c>
      <c r="AK27" s="14">
        <f t="shared" si="3"/>
        <v>0</v>
      </c>
    </row>
    <row r="28" spans="1:37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">
        <f t="shared" si="2"/>
        <v>0</v>
      </c>
      <c r="AK28" s="14">
        <f t="shared" si="3"/>
        <v>0</v>
      </c>
    </row>
    <row r="29" spans="1:37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">
        <f t="shared" si="2"/>
        <v>0</v>
      </c>
      <c r="AK29" s="14">
        <f t="shared" si="3"/>
        <v>0</v>
      </c>
    </row>
    <row r="30" spans="1:37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">
        <f t="shared" si="2"/>
        <v>0</v>
      </c>
      <c r="AK30" s="14">
        <f t="shared" si="3"/>
        <v>0</v>
      </c>
    </row>
    <row r="31" spans="1:37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">
        <f t="shared" si="2"/>
        <v>0</v>
      </c>
      <c r="AK31" s="14">
        <f t="shared" si="3"/>
        <v>0</v>
      </c>
    </row>
    <row r="32" spans="1:37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">
        <f t="shared" si="2"/>
        <v>0</v>
      </c>
      <c r="AK32" s="14">
        <f t="shared" si="3"/>
        <v>0</v>
      </c>
    </row>
    <row r="33" spans="1:39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">
        <f t="shared" si="2"/>
        <v>0</v>
      </c>
      <c r="AK33" s="14">
        <f t="shared" si="3"/>
        <v>0</v>
      </c>
    </row>
    <row r="34" spans="1:39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">
        <f t="shared" si="2"/>
        <v>0</v>
      </c>
      <c r="AK34" s="14">
        <f t="shared" si="3"/>
        <v>0</v>
      </c>
    </row>
    <row r="35" spans="1:39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">
        <f t="shared" si="2"/>
        <v>0</v>
      </c>
      <c r="AK35" s="14">
        <f t="shared" si="3"/>
        <v>0</v>
      </c>
    </row>
    <row r="36" spans="1:39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">
        <f t="shared" si="2"/>
        <v>0</v>
      </c>
      <c r="AK36" s="14">
        <f t="shared" si="3"/>
        <v>0</v>
      </c>
    </row>
    <row r="37" spans="1:39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">
        <f t="shared" si="2"/>
        <v>0</v>
      </c>
      <c r="AK37" s="14">
        <f t="shared" si="3"/>
        <v>0</v>
      </c>
    </row>
    <row r="38" spans="1:39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">
        <f t="shared" si="2"/>
        <v>0</v>
      </c>
      <c r="AK38" s="14">
        <f t="shared" si="3"/>
        <v>0</v>
      </c>
    </row>
    <row r="39" spans="1:39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">
        <f t="shared" si="2"/>
        <v>0</v>
      </c>
      <c r="AK39" s="14">
        <f t="shared" si="3"/>
        <v>0</v>
      </c>
    </row>
    <row r="40" spans="1:39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">
        <f t="shared" si="2"/>
        <v>0</v>
      </c>
      <c r="AK40" s="14">
        <f t="shared" si="3"/>
        <v>0</v>
      </c>
    </row>
    <row r="41" spans="1:39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17" t="s">
        <v>42</v>
      </c>
    </row>
    <row r="43" spans="1:39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</row>
    <row r="44" spans="1:3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14">
        <f>E62*100/780</f>
        <v>0</v>
      </c>
    </row>
    <row r="45" spans="1:3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</row>
    <row r="47" spans="1:3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5"/>
      <c r="B62" s="5"/>
      <c r="C62" s="5"/>
      <c r="D62" s="5"/>
      <c r="E62" s="14">
        <f>SUM(AJ11:AJ40)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5">
      <c r="A63" s="5"/>
      <c r="B63" s="5"/>
      <c r="C63" s="5"/>
      <c r="D63" s="5"/>
      <c r="E63" s="2">
        <f>DATE(2025, 9, 30)</f>
        <v>45930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</sheetData>
  <mergeCells count="4">
    <mergeCell ref="G1:L3"/>
    <mergeCell ref="G5:L7"/>
    <mergeCell ref="AJ9:AJ10"/>
    <mergeCell ref="AK9:AK10"/>
  </mergeCells>
  <conditionalFormatting sqref="F6:F7 M5:AC7 G5 E63 F9:AI10">
    <cfRule type="cellIs" dxfId="107" priority="7" operator="equal">
      <formula>"Leave"</formula>
    </cfRule>
    <cfRule type="cellIs" dxfId="106" priority="8" operator="equal">
      <formula>"Absant"</formula>
    </cfRule>
    <cfRule type="cellIs" dxfId="105" priority="9" operator="equal">
      <formula>"Present"</formula>
    </cfRule>
  </conditionalFormatting>
  <conditionalFormatting sqref="F9:AI10">
    <cfRule type="expression" dxfId="104" priority="6">
      <formula>F$9="Sun"</formula>
    </cfRule>
  </conditionalFormatting>
  <conditionalFormatting sqref="F9:AI9">
    <cfRule type="cellIs" dxfId="103" priority="5" operator="equal">
      <formula>"Sun"</formula>
    </cfRule>
  </conditionalFormatting>
  <conditionalFormatting sqref="F11:AI40">
    <cfRule type="cellIs" dxfId="102" priority="1" operator="equal">
      <formula>"L"</formula>
    </cfRule>
    <cfRule type="cellIs" dxfId="101" priority="2" operator="equal">
      <formula>"A"</formula>
    </cfRule>
    <cfRule type="cellIs" dxfId="100" priority="3" operator="equal">
      <formula>"P"</formula>
    </cfRule>
    <cfRule type="expression" dxfId="99" priority="4">
      <formula>F$9="Sun"</formula>
    </cfRule>
  </conditionalFormatting>
  <dataValidations count="1">
    <dataValidation type="list" allowBlank="1" showInputMessage="1" showErrorMessage="1" sqref="F11:AI40">
      <formula1>"P, A, 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N64"/>
  <sheetViews>
    <sheetView zoomScaleNormal="100" workbookViewId="0">
      <selection activeCell="L44" sqref="L44"/>
    </sheetView>
  </sheetViews>
  <sheetFormatPr defaultRowHeight="15" x14ac:dyDescent="0.25"/>
  <cols>
    <col min="2" max="2" width="5.140625" customWidth="1"/>
    <col min="3" max="3" width="19.85546875" bestFit="1" customWidth="1"/>
    <col min="4" max="4" width="11.5703125" bestFit="1" customWidth="1"/>
    <col min="5" max="5" width="21.5703125" bestFit="1" customWidth="1"/>
    <col min="6" max="36" width="11.28515625" bestFit="1" customWidth="1"/>
    <col min="37" max="37" width="32" bestFit="1" customWidth="1"/>
    <col min="38" max="38" width="30.5703125" bestFit="1" customWidth="1"/>
    <col min="39" max="39" width="24.285156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52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Wed</v>
      </c>
      <c r="G9" s="4" t="str">
        <f t="shared" ref="G9:AJ9" si="0">TEXT(G10, "ddd")</f>
        <v>Thu</v>
      </c>
      <c r="H9" s="4" t="str">
        <f t="shared" si="0"/>
        <v>Fri</v>
      </c>
      <c r="I9" s="4" t="str">
        <f t="shared" si="0"/>
        <v>Sat</v>
      </c>
      <c r="J9" s="4" t="str">
        <f t="shared" si="0"/>
        <v>Sun</v>
      </c>
      <c r="K9" s="4" t="str">
        <f t="shared" si="0"/>
        <v>Mon</v>
      </c>
      <c r="L9" s="4" t="str">
        <f t="shared" si="0"/>
        <v>Tue</v>
      </c>
      <c r="M9" s="4" t="str">
        <f t="shared" si="0"/>
        <v>Wed</v>
      </c>
      <c r="N9" s="4" t="str">
        <f t="shared" si="0"/>
        <v>Thu</v>
      </c>
      <c r="O9" s="4" t="str">
        <f t="shared" si="0"/>
        <v>Fri</v>
      </c>
      <c r="P9" s="4" t="str">
        <f t="shared" si="0"/>
        <v>Sat</v>
      </c>
      <c r="Q9" s="4" t="str">
        <f t="shared" si="0"/>
        <v>Sun</v>
      </c>
      <c r="R9" s="4" t="str">
        <f t="shared" si="0"/>
        <v>Mon</v>
      </c>
      <c r="S9" s="4" t="str">
        <f t="shared" si="0"/>
        <v>Tue</v>
      </c>
      <c r="T9" s="4" t="str">
        <f t="shared" si="0"/>
        <v>Wed</v>
      </c>
      <c r="U9" s="4" t="str">
        <f t="shared" si="0"/>
        <v>Thu</v>
      </c>
      <c r="V9" s="4" t="str">
        <f t="shared" si="0"/>
        <v>Fri</v>
      </c>
      <c r="W9" s="4" t="str">
        <f t="shared" si="0"/>
        <v>Sat</v>
      </c>
      <c r="X9" s="4" t="str">
        <f t="shared" si="0"/>
        <v>Sun</v>
      </c>
      <c r="Y9" s="4" t="str">
        <f t="shared" si="0"/>
        <v>Mon</v>
      </c>
      <c r="Z9" s="4" t="str">
        <f t="shared" si="0"/>
        <v>Tue</v>
      </c>
      <c r="AA9" s="4" t="str">
        <f t="shared" si="0"/>
        <v>Wed</v>
      </c>
      <c r="AB9" s="4" t="str">
        <f t="shared" si="0"/>
        <v>Thu</v>
      </c>
      <c r="AC9" s="4" t="str">
        <f t="shared" si="0"/>
        <v>Fri</v>
      </c>
      <c r="AD9" s="4" t="str">
        <f t="shared" si="0"/>
        <v>Sat</v>
      </c>
      <c r="AE9" s="4" t="str">
        <f t="shared" si="0"/>
        <v>Sun</v>
      </c>
      <c r="AF9" s="4" t="str">
        <f t="shared" si="0"/>
        <v>Mon</v>
      </c>
      <c r="AG9" s="4" t="str">
        <f t="shared" si="0"/>
        <v>Tue</v>
      </c>
      <c r="AH9" s="4" t="str">
        <f t="shared" si="0"/>
        <v>Wed</v>
      </c>
      <c r="AI9" s="4" t="str">
        <f t="shared" si="0"/>
        <v>Thu</v>
      </c>
      <c r="AJ9" s="4" t="str">
        <f t="shared" si="0"/>
        <v>Fri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10, 1)</f>
        <v>45931</v>
      </c>
      <c r="G10" s="3">
        <f>IF(F10&lt;E63,F10+1,"""")</f>
        <v>45932</v>
      </c>
      <c r="H10" s="3">
        <f t="shared" ref="H10:AJ10" si="1">IF(G10&lt;$E$63, G10+1, "")</f>
        <v>45933</v>
      </c>
      <c r="I10" s="3">
        <f t="shared" si="1"/>
        <v>45934</v>
      </c>
      <c r="J10" s="3">
        <f t="shared" si="1"/>
        <v>45935</v>
      </c>
      <c r="K10" s="3">
        <f t="shared" si="1"/>
        <v>45936</v>
      </c>
      <c r="L10" s="3">
        <f t="shared" si="1"/>
        <v>45937</v>
      </c>
      <c r="M10" s="3">
        <f t="shared" si="1"/>
        <v>45938</v>
      </c>
      <c r="N10" s="3">
        <f t="shared" si="1"/>
        <v>45939</v>
      </c>
      <c r="O10" s="3">
        <f t="shared" si="1"/>
        <v>45940</v>
      </c>
      <c r="P10" s="3">
        <f t="shared" si="1"/>
        <v>45941</v>
      </c>
      <c r="Q10" s="3">
        <f t="shared" si="1"/>
        <v>45942</v>
      </c>
      <c r="R10" s="3">
        <f t="shared" si="1"/>
        <v>45943</v>
      </c>
      <c r="S10" s="3">
        <f t="shared" si="1"/>
        <v>45944</v>
      </c>
      <c r="T10" s="3">
        <f t="shared" si="1"/>
        <v>45945</v>
      </c>
      <c r="U10" s="3">
        <f t="shared" si="1"/>
        <v>45946</v>
      </c>
      <c r="V10" s="3">
        <f t="shared" si="1"/>
        <v>45947</v>
      </c>
      <c r="W10" s="3">
        <f t="shared" si="1"/>
        <v>45948</v>
      </c>
      <c r="X10" s="3">
        <f t="shared" si="1"/>
        <v>45949</v>
      </c>
      <c r="Y10" s="3">
        <f t="shared" si="1"/>
        <v>45950</v>
      </c>
      <c r="Z10" s="3">
        <f t="shared" si="1"/>
        <v>45951</v>
      </c>
      <c r="AA10" s="3">
        <f t="shared" si="1"/>
        <v>45952</v>
      </c>
      <c r="AB10" s="3">
        <f t="shared" si="1"/>
        <v>45953</v>
      </c>
      <c r="AC10" s="3">
        <f t="shared" si="1"/>
        <v>45954</v>
      </c>
      <c r="AD10" s="3">
        <f t="shared" si="1"/>
        <v>45955</v>
      </c>
      <c r="AE10" s="3">
        <f t="shared" si="1"/>
        <v>45956</v>
      </c>
      <c r="AF10" s="3">
        <f t="shared" si="1"/>
        <v>45957</v>
      </c>
      <c r="AG10" s="3">
        <f t="shared" si="1"/>
        <v>45958</v>
      </c>
      <c r="AH10" s="3">
        <f t="shared" si="1"/>
        <v>45959</v>
      </c>
      <c r="AI10" s="3">
        <f t="shared" si="1"/>
        <v>45960</v>
      </c>
      <c r="AJ10" s="3">
        <f t="shared" si="1"/>
        <v>45961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AK11*100/27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AK12*100/27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7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E62*100/810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10, 31)</f>
        <v>45961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K9:AK10"/>
    <mergeCell ref="AL9:AL10"/>
  </mergeCells>
  <conditionalFormatting sqref="F6:F7 M5:AC7 G5 E63 F9:AJ10 F11:AD40">
    <cfRule type="cellIs" dxfId="98" priority="41" operator="equal">
      <formula>"Leave"</formula>
    </cfRule>
    <cfRule type="cellIs" dxfId="97" priority="42" operator="equal">
      <formula>"Absant"</formula>
    </cfRule>
    <cfRule type="cellIs" dxfId="96" priority="43" operator="equal">
      <formula>"Present"</formula>
    </cfRule>
  </conditionalFormatting>
  <conditionalFormatting sqref="F9:AJ10 F11:AD40 AF11:AJ40">
    <cfRule type="expression" dxfId="95" priority="40">
      <formula>F$9="Sun"</formula>
    </cfRule>
  </conditionalFormatting>
  <conditionalFormatting sqref="F9:AJ9">
    <cfRule type="cellIs" dxfId="94" priority="39" operator="equal">
      <formula>"Sun"</formula>
    </cfRule>
  </conditionalFormatting>
  <conditionalFormatting sqref="F11:AD40">
    <cfRule type="cellIs" dxfId="93" priority="33" operator="equal">
      <formula>"L"</formula>
    </cfRule>
    <cfRule type="cellIs" dxfId="92" priority="34" operator="equal">
      <formula>"L"</formula>
    </cfRule>
    <cfRule type="cellIs" dxfId="91" priority="35" operator="equal">
      <formula>"L"</formula>
    </cfRule>
    <cfRule type="cellIs" dxfId="90" priority="36" operator="equal">
      <formula>"A"</formula>
    </cfRule>
    <cfRule type="cellIs" dxfId="89" priority="37" operator="equal">
      <formula>"P"</formula>
    </cfRule>
    <cfRule type="cellIs" dxfId="88" priority="38" operator="equal">
      <formula>"P"</formula>
    </cfRule>
  </conditionalFormatting>
  <conditionalFormatting sqref="F11:I40">
    <cfRule type="expression" dxfId="87" priority="45">
      <formula>#REF!="Sun"</formula>
    </cfRule>
  </conditionalFormatting>
  <conditionalFormatting sqref="H11:M40">
    <cfRule type="expression" dxfId="86" priority="32">
      <formula>#REF!="Sun"</formula>
    </cfRule>
  </conditionalFormatting>
  <conditionalFormatting sqref="O11:T40">
    <cfRule type="expression" dxfId="85" priority="31">
      <formula>#REF!="Sun"</formula>
    </cfRule>
  </conditionalFormatting>
  <conditionalFormatting sqref="V11:AA40">
    <cfRule type="expression" dxfId="84" priority="30">
      <formula>#REF!="Sun"</formula>
    </cfRule>
  </conditionalFormatting>
  <conditionalFormatting sqref="AC11:AD40">
    <cfRule type="expression" dxfId="83" priority="29">
      <formula>#REF!="Sun"</formula>
    </cfRule>
  </conditionalFormatting>
  <conditionalFormatting sqref="J11:O40">
    <cfRule type="expression" dxfId="82" priority="28">
      <formula>#REF!="Sun"</formula>
    </cfRule>
  </conditionalFormatting>
  <conditionalFormatting sqref="Q11:V40">
    <cfRule type="expression" dxfId="81" priority="27">
      <formula>#REF!="Sun"</formula>
    </cfRule>
  </conditionalFormatting>
  <conditionalFormatting sqref="X11:AC40">
    <cfRule type="expression" dxfId="80" priority="26">
      <formula>#REF!="Sun"</formula>
    </cfRule>
  </conditionalFormatting>
  <conditionalFormatting sqref="AE11:AJ40">
    <cfRule type="cellIs" dxfId="79" priority="22" operator="equal">
      <formula>"Leave"</formula>
    </cfRule>
    <cfRule type="cellIs" dxfId="78" priority="23" operator="equal">
      <formula>"Absant"</formula>
    </cfRule>
    <cfRule type="cellIs" dxfId="77" priority="24" operator="equal">
      <formula>"Present"</formula>
    </cfRule>
  </conditionalFormatting>
  <conditionalFormatting sqref="AE11:AJ40">
    <cfRule type="cellIs" dxfId="76" priority="16" operator="equal">
      <formula>"L"</formula>
    </cfRule>
    <cfRule type="cellIs" dxfId="75" priority="17" operator="equal">
      <formula>"L"</formula>
    </cfRule>
    <cfRule type="cellIs" dxfId="74" priority="18" operator="equal">
      <formula>"L"</formula>
    </cfRule>
    <cfRule type="cellIs" dxfId="73" priority="19" operator="equal">
      <formula>"A"</formula>
    </cfRule>
    <cfRule type="cellIs" dxfId="72" priority="20" operator="equal">
      <formula>"P"</formula>
    </cfRule>
    <cfRule type="cellIs" dxfId="71" priority="21" operator="equal">
      <formula>"P"</formula>
    </cfRule>
  </conditionalFormatting>
  <conditionalFormatting sqref="AE11:AJ40">
    <cfRule type="expression" dxfId="70" priority="25">
      <formula>#REF!="Sun"</formula>
    </cfRule>
  </conditionalFormatting>
  <conditionalFormatting sqref="F11:AJ40">
    <cfRule type="expression" dxfId="69" priority="15">
      <formula>F$9="Sun"</formula>
    </cfRule>
  </conditionalFormatting>
  <conditionalFormatting sqref="K11:P40">
    <cfRule type="expression" dxfId="68" priority="14">
      <formula>#REF!="Sun"</formula>
    </cfRule>
  </conditionalFormatting>
  <conditionalFormatting sqref="R11:W40">
    <cfRule type="expression" dxfId="67" priority="13">
      <formula>#REF!="Sun"</formula>
    </cfRule>
  </conditionalFormatting>
  <conditionalFormatting sqref="Y11:AD40">
    <cfRule type="expression" dxfId="66" priority="12">
      <formula>#REF!="Sun"</formula>
    </cfRule>
  </conditionalFormatting>
  <conditionalFormatting sqref="AF11:AJ40">
    <cfRule type="cellIs" dxfId="65" priority="8" operator="equal">
      <formula>"Leave"</formula>
    </cfRule>
    <cfRule type="cellIs" dxfId="64" priority="9" operator="equal">
      <formula>"Absant"</formula>
    </cfRule>
    <cfRule type="cellIs" dxfId="63" priority="10" operator="equal">
      <formula>"Present"</formula>
    </cfRule>
  </conditionalFormatting>
  <conditionalFormatting sqref="AF11:AJ40">
    <cfRule type="cellIs" dxfId="62" priority="1" operator="equal">
      <formula>"L"</formula>
    </cfRule>
    <cfRule type="cellIs" dxfId="61" priority="2" operator="equal">
      <formula>"L"</formula>
    </cfRule>
    <cfRule type="cellIs" dxfId="60" priority="3" operator="equal">
      <formula>"L"</formula>
    </cfRule>
    <cfRule type="cellIs" dxfId="59" priority="4" operator="equal">
      <formula>"A"</formula>
    </cfRule>
    <cfRule type="cellIs" dxfId="58" priority="5" operator="equal">
      <formula>"P"</formula>
    </cfRule>
    <cfRule type="cellIs" dxfId="57" priority="6" operator="equal">
      <formula>"P"</formula>
    </cfRule>
  </conditionalFormatting>
  <conditionalFormatting sqref="AF11:AJ40">
    <cfRule type="expression" dxfId="56" priority="11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M64"/>
  <sheetViews>
    <sheetView zoomScale="80" zoomScaleNormal="80" workbookViewId="0">
      <selection activeCell="M13" sqref="M13"/>
    </sheetView>
  </sheetViews>
  <sheetFormatPr defaultRowHeight="15" x14ac:dyDescent="0.25"/>
  <cols>
    <col min="2" max="2" width="5.28515625" customWidth="1"/>
    <col min="3" max="3" width="19.85546875" customWidth="1"/>
    <col min="4" max="4" width="11.5703125" bestFit="1" customWidth="1"/>
    <col min="5" max="5" width="21.5703125" customWidth="1"/>
    <col min="6" max="11" width="12.28515625" bestFit="1" customWidth="1"/>
    <col min="12" max="12" width="12.28515625" customWidth="1"/>
    <col min="13" max="35" width="12.28515625" bestFit="1" customWidth="1"/>
    <col min="36" max="36" width="32" bestFit="1" customWidth="1"/>
    <col min="37" max="37" width="30.5703125" bestFit="1" customWidth="1"/>
    <col min="38" max="38" width="23.5703125" bestFit="1" customWidth="1"/>
  </cols>
  <sheetData>
    <row r="1" spans="1:39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5"/>
      <c r="B5" s="12"/>
      <c r="C5" s="1" t="s">
        <v>34</v>
      </c>
      <c r="D5" s="5"/>
      <c r="E5" s="5"/>
      <c r="F5" s="5"/>
      <c r="G5" s="21" t="s">
        <v>49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</row>
    <row r="8" spans="1:3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5"/>
      <c r="B9" s="5"/>
      <c r="C9" s="5"/>
      <c r="D9" s="5"/>
      <c r="E9" s="5"/>
      <c r="F9" s="4" t="str">
        <f t="shared" ref="F9:AI9" si="0">TEXT(F10, "ddd")</f>
        <v>Sat</v>
      </c>
      <c r="G9" s="4" t="str">
        <f t="shared" si="0"/>
        <v>Sun</v>
      </c>
      <c r="H9" s="4" t="str">
        <f t="shared" si="0"/>
        <v>Mon</v>
      </c>
      <c r="I9" s="4" t="str">
        <f t="shared" si="0"/>
        <v>Tue</v>
      </c>
      <c r="J9" s="4" t="str">
        <f t="shared" si="0"/>
        <v>Wed</v>
      </c>
      <c r="K9" s="4" t="str">
        <f t="shared" si="0"/>
        <v>Thu</v>
      </c>
      <c r="L9" s="4" t="str">
        <f t="shared" si="0"/>
        <v>Fri</v>
      </c>
      <c r="M9" s="4" t="str">
        <f t="shared" si="0"/>
        <v>Sat</v>
      </c>
      <c r="N9" s="4" t="str">
        <f t="shared" si="0"/>
        <v>Sun</v>
      </c>
      <c r="O9" s="4" t="str">
        <f t="shared" si="0"/>
        <v>Mon</v>
      </c>
      <c r="P9" s="4" t="str">
        <f t="shared" si="0"/>
        <v>Tue</v>
      </c>
      <c r="Q9" s="4" t="str">
        <f t="shared" si="0"/>
        <v>Wed</v>
      </c>
      <c r="R9" s="4" t="str">
        <f t="shared" si="0"/>
        <v>Thu</v>
      </c>
      <c r="S9" s="4" t="str">
        <f t="shared" si="0"/>
        <v>Fri</v>
      </c>
      <c r="T9" s="4" t="str">
        <f t="shared" si="0"/>
        <v>Sat</v>
      </c>
      <c r="U9" s="4" t="str">
        <f t="shared" si="0"/>
        <v>Sun</v>
      </c>
      <c r="V9" s="4" t="str">
        <f t="shared" si="0"/>
        <v>Mon</v>
      </c>
      <c r="W9" s="4" t="str">
        <f t="shared" si="0"/>
        <v>Tue</v>
      </c>
      <c r="X9" s="4" t="str">
        <f t="shared" si="0"/>
        <v>Wed</v>
      </c>
      <c r="Y9" s="4" t="str">
        <f t="shared" si="0"/>
        <v>Thu</v>
      </c>
      <c r="Z9" s="4" t="str">
        <f t="shared" si="0"/>
        <v>Fri</v>
      </c>
      <c r="AA9" s="4" t="str">
        <f t="shared" si="0"/>
        <v>Sat</v>
      </c>
      <c r="AB9" s="4" t="str">
        <f t="shared" si="0"/>
        <v>Sun</v>
      </c>
      <c r="AC9" s="4" t="str">
        <f t="shared" si="0"/>
        <v>Mon</v>
      </c>
      <c r="AD9" s="4" t="str">
        <f t="shared" si="0"/>
        <v>Tue</v>
      </c>
      <c r="AE9" s="4" t="str">
        <f t="shared" si="0"/>
        <v>Wed</v>
      </c>
      <c r="AF9" s="4" t="str">
        <f t="shared" si="0"/>
        <v>Thu</v>
      </c>
      <c r="AG9" s="4" t="str">
        <f t="shared" si="0"/>
        <v>Fri</v>
      </c>
      <c r="AH9" s="4" t="str">
        <f t="shared" si="0"/>
        <v>Sat</v>
      </c>
      <c r="AI9" s="4" t="str">
        <f t="shared" si="0"/>
        <v>Sun</v>
      </c>
      <c r="AJ9" s="20" t="s">
        <v>40</v>
      </c>
      <c r="AK9" s="20" t="s">
        <v>41</v>
      </c>
    </row>
    <row r="10" spans="1:39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11, 1)</f>
        <v>45962</v>
      </c>
      <c r="G10" s="3">
        <f>IF(F10&lt;E63,F10+1,"""")</f>
        <v>45963</v>
      </c>
      <c r="H10" s="3">
        <f t="shared" ref="H10:AI10" si="1">IF(G10&lt;$E$63, G10+1, "")</f>
        <v>45964</v>
      </c>
      <c r="I10" s="3">
        <f t="shared" si="1"/>
        <v>45965</v>
      </c>
      <c r="J10" s="3">
        <f t="shared" si="1"/>
        <v>45966</v>
      </c>
      <c r="K10" s="3">
        <f t="shared" si="1"/>
        <v>45967</v>
      </c>
      <c r="L10" s="3">
        <f t="shared" si="1"/>
        <v>45968</v>
      </c>
      <c r="M10" s="3">
        <f t="shared" si="1"/>
        <v>45969</v>
      </c>
      <c r="N10" s="3">
        <f t="shared" si="1"/>
        <v>45970</v>
      </c>
      <c r="O10" s="3">
        <f t="shared" si="1"/>
        <v>45971</v>
      </c>
      <c r="P10" s="3">
        <f t="shared" si="1"/>
        <v>45972</v>
      </c>
      <c r="Q10" s="3">
        <f t="shared" si="1"/>
        <v>45973</v>
      </c>
      <c r="R10" s="3">
        <f t="shared" si="1"/>
        <v>45974</v>
      </c>
      <c r="S10" s="3">
        <f t="shared" si="1"/>
        <v>45975</v>
      </c>
      <c r="T10" s="3">
        <f t="shared" si="1"/>
        <v>45976</v>
      </c>
      <c r="U10" s="3">
        <f t="shared" si="1"/>
        <v>45977</v>
      </c>
      <c r="V10" s="3">
        <f t="shared" si="1"/>
        <v>45978</v>
      </c>
      <c r="W10" s="3">
        <f t="shared" si="1"/>
        <v>45979</v>
      </c>
      <c r="X10" s="3">
        <f t="shared" si="1"/>
        <v>45980</v>
      </c>
      <c r="Y10" s="3">
        <f t="shared" si="1"/>
        <v>45981</v>
      </c>
      <c r="Z10" s="3">
        <f t="shared" si="1"/>
        <v>45982</v>
      </c>
      <c r="AA10" s="3">
        <f t="shared" si="1"/>
        <v>45983</v>
      </c>
      <c r="AB10" s="3">
        <f t="shared" si="1"/>
        <v>45984</v>
      </c>
      <c r="AC10" s="3">
        <f t="shared" si="1"/>
        <v>45985</v>
      </c>
      <c r="AD10" s="3">
        <f t="shared" si="1"/>
        <v>45986</v>
      </c>
      <c r="AE10" s="3">
        <f t="shared" si="1"/>
        <v>45987</v>
      </c>
      <c r="AF10" s="3">
        <f t="shared" si="1"/>
        <v>45988</v>
      </c>
      <c r="AG10" s="3">
        <f t="shared" si="1"/>
        <v>45989</v>
      </c>
      <c r="AH10" s="3">
        <f t="shared" si="1"/>
        <v>45990</v>
      </c>
      <c r="AI10" s="3">
        <f t="shared" si="1"/>
        <v>45991</v>
      </c>
      <c r="AJ10" s="20"/>
      <c r="AK10" s="20"/>
    </row>
    <row r="11" spans="1:39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">
        <f t="shared" ref="AJ11:AJ40" si="2">COUNTIF(F11:AI11, "P")</f>
        <v>0</v>
      </c>
      <c r="AK11" s="14">
        <f>AJ11*100/25</f>
        <v>0</v>
      </c>
    </row>
    <row r="12" spans="1:39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">
        <f t="shared" si="2"/>
        <v>0</v>
      </c>
      <c r="AK12" s="14">
        <f t="shared" ref="AK12:AK40" si="3">AJ12*100/25</f>
        <v>0</v>
      </c>
    </row>
    <row r="13" spans="1:39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">
        <f t="shared" si="2"/>
        <v>0</v>
      </c>
      <c r="AK13" s="14">
        <f t="shared" si="3"/>
        <v>0</v>
      </c>
    </row>
    <row r="14" spans="1:39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">
        <f t="shared" si="2"/>
        <v>0</v>
      </c>
      <c r="AK14" s="14">
        <f t="shared" si="3"/>
        <v>0</v>
      </c>
    </row>
    <row r="15" spans="1:39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">
        <f t="shared" si="2"/>
        <v>0</v>
      </c>
      <c r="AK15" s="14">
        <f t="shared" si="3"/>
        <v>0</v>
      </c>
    </row>
    <row r="16" spans="1:39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">
        <f t="shared" si="2"/>
        <v>0</v>
      </c>
      <c r="AK16" s="14">
        <f t="shared" si="3"/>
        <v>0</v>
      </c>
    </row>
    <row r="17" spans="1:37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">
        <f t="shared" si="2"/>
        <v>0</v>
      </c>
      <c r="AK17" s="14">
        <f t="shared" si="3"/>
        <v>0</v>
      </c>
    </row>
    <row r="18" spans="1:37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">
        <f t="shared" si="2"/>
        <v>0</v>
      </c>
      <c r="AK18" s="14">
        <f t="shared" si="3"/>
        <v>0</v>
      </c>
    </row>
    <row r="19" spans="1:37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">
        <f t="shared" si="2"/>
        <v>0</v>
      </c>
      <c r="AK19" s="14">
        <f t="shared" si="3"/>
        <v>0</v>
      </c>
    </row>
    <row r="20" spans="1:37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">
        <f t="shared" si="2"/>
        <v>0</v>
      </c>
      <c r="AK20" s="14">
        <f t="shared" si="3"/>
        <v>0</v>
      </c>
    </row>
    <row r="21" spans="1:37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">
        <f t="shared" si="2"/>
        <v>0</v>
      </c>
      <c r="AK21" s="14">
        <f t="shared" si="3"/>
        <v>0</v>
      </c>
    </row>
    <row r="22" spans="1:37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">
        <f t="shared" si="2"/>
        <v>0</v>
      </c>
      <c r="AK22" s="14">
        <f t="shared" si="3"/>
        <v>0</v>
      </c>
    </row>
    <row r="23" spans="1:37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">
        <f t="shared" si="2"/>
        <v>0</v>
      </c>
      <c r="AK23" s="14">
        <f t="shared" si="3"/>
        <v>0</v>
      </c>
    </row>
    <row r="24" spans="1:37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">
        <f t="shared" si="2"/>
        <v>0</v>
      </c>
      <c r="AK24" s="14">
        <f t="shared" si="3"/>
        <v>0</v>
      </c>
    </row>
    <row r="25" spans="1:37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">
        <f t="shared" si="2"/>
        <v>0</v>
      </c>
      <c r="AK25" s="14">
        <f t="shared" si="3"/>
        <v>0</v>
      </c>
    </row>
    <row r="26" spans="1:37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">
        <f t="shared" si="2"/>
        <v>0</v>
      </c>
      <c r="AK26" s="14">
        <f t="shared" si="3"/>
        <v>0</v>
      </c>
    </row>
    <row r="27" spans="1:37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">
        <f t="shared" si="2"/>
        <v>0</v>
      </c>
      <c r="AK27" s="14">
        <f t="shared" si="3"/>
        <v>0</v>
      </c>
    </row>
    <row r="28" spans="1:37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">
        <f t="shared" si="2"/>
        <v>0</v>
      </c>
      <c r="AK28" s="14">
        <f t="shared" si="3"/>
        <v>0</v>
      </c>
    </row>
    <row r="29" spans="1:37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">
        <f t="shared" si="2"/>
        <v>0</v>
      </c>
      <c r="AK29" s="14">
        <f t="shared" si="3"/>
        <v>0</v>
      </c>
    </row>
    <row r="30" spans="1:37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">
        <f t="shared" si="2"/>
        <v>0</v>
      </c>
      <c r="AK30" s="14">
        <f t="shared" si="3"/>
        <v>0</v>
      </c>
    </row>
    <row r="31" spans="1:37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">
        <f t="shared" si="2"/>
        <v>0</v>
      </c>
      <c r="AK31" s="14">
        <f t="shared" si="3"/>
        <v>0</v>
      </c>
    </row>
    <row r="32" spans="1:37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">
        <f t="shared" si="2"/>
        <v>0</v>
      </c>
      <c r="AK32" s="14">
        <f t="shared" si="3"/>
        <v>0</v>
      </c>
    </row>
    <row r="33" spans="1:39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">
        <f t="shared" si="2"/>
        <v>0</v>
      </c>
      <c r="AK33" s="14">
        <f t="shared" si="3"/>
        <v>0</v>
      </c>
    </row>
    <row r="34" spans="1:39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">
        <f t="shared" si="2"/>
        <v>0</v>
      </c>
      <c r="AK34" s="14">
        <f t="shared" si="3"/>
        <v>0</v>
      </c>
    </row>
    <row r="35" spans="1:39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">
        <f t="shared" si="2"/>
        <v>0</v>
      </c>
      <c r="AK35" s="14">
        <f t="shared" si="3"/>
        <v>0</v>
      </c>
    </row>
    <row r="36" spans="1:39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">
        <f t="shared" si="2"/>
        <v>0</v>
      </c>
      <c r="AK36" s="14">
        <f t="shared" si="3"/>
        <v>0</v>
      </c>
    </row>
    <row r="37" spans="1:39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">
        <f t="shared" si="2"/>
        <v>0</v>
      </c>
      <c r="AK37" s="14">
        <f t="shared" si="3"/>
        <v>0</v>
      </c>
    </row>
    <row r="38" spans="1:39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">
        <f t="shared" si="2"/>
        <v>0</v>
      </c>
      <c r="AK38" s="14">
        <f t="shared" si="3"/>
        <v>0</v>
      </c>
    </row>
    <row r="39" spans="1:39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">
        <f t="shared" si="2"/>
        <v>0</v>
      </c>
      <c r="AK39" s="14">
        <f t="shared" si="3"/>
        <v>0</v>
      </c>
    </row>
    <row r="40" spans="1:39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">
        <f t="shared" si="2"/>
        <v>0</v>
      </c>
      <c r="AK40" s="14">
        <f t="shared" si="3"/>
        <v>0</v>
      </c>
    </row>
    <row r="41" spans="1:39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9.5" x14ac:dyDescent="0.3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17" t="s">
        <v>42</v>
      </c>
    </row>
    <row r="43" spans="1:39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</row>
    <row r="44" spans="1:3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14">
        <f>E62*100/750</f>
        <v>0</v>
      </c>
    </row>
    <row r="45" spans="1:3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M45" s="5"/>
    </row>
    <row r="46" spans="1:3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</row>
    <row r="47" spans="1:3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5"/>
      <c r="B62" s="5"/>
      <c r="C62" s="5"/>
      <c r="D62" s="5"/>
      <c r="E62" s="14">
        <f>SUM(AJ11:AJ40)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5">
      <c r="A63" s="5"/>
      <c r="B63" s="5"/>
      <c r="C63" s="5"/>
      <c r="D63" s="5"/>
      <c r="E63" s="2">
        <f>DATE(2025, 11, 30)</f>
        <v>45991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</sheetData>
  <mergeCells count="4">
    <mergeCell ref="G1:L3"/>
    <mergeCell ref="G5:L7"/>
    <mergeCell ref="AJ9:AJ10"/>
    <mergeCell ref="AK9:AK10"/>
  </mergeCells>
  <conditionalFormatting sqref="F6:F7 M5:AC7 G5 E63 F9:AI10">
    <cfRule type="cellIs" dxfId="55" priority="7" operator="equal">
      <formula>"Leave"</formula>
    </cfRule>
    <cfRule type="cellIs" dxfId="54" priority="8" operator="equal">
      <formula>"Absant"</formula>
    </cfRule>
    <cfRule type="cellIs" dxfId="53" priority="9" operator="equal">
      <formula>"Present"</formula>
    </cfRule>
  </conditionalFormatting>
  <conditionalFormatting sqref="F9:AI10">
    <cfRule type="expression" dxfId="52" priority="6">
      <formula>F$9="Sun"</formula>
    </cfRule>
  </conditionalFormatting>
  <conditionalFormatting sqref="F9:AI9">
    <cfRule type="cellIs" dxfId="51" priority="5" operator="equal">
      <formula>"Sun"</formula>
    </cfRule>
  </conditionalFormatting>
  <conditionalFormatting sqref="F11:AI40">
    <cfRule type="cellIs" dxfId="50" priority="1" operator="equal">
      <formula>"L"</formula>
    </cfRule>
    <cfRule type="cellIs" dxfId="49" priority="2" operator="equal">
      <formula>"A"</formula>
    </cfRule>
    <cfRule type="cellIs" dxfId="48" priority="3" operator="equal">
      <formula>"P"</formula>
    </cfRule>
    <cfRule type="expression" dxfId="47" priority="4">
      <formula>F$9="Sun"</formula>
    </cfRule>
  </conditionalFormatting>
  <dataValidations count="1">
    <dataValidation type="list" allowBlank="1" showInputMessage="1" showErrorMessage="1" sqref="F11:AI40">
      <formula1>"P, A, 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N64"/>
  <sheetViews>
    <sheetView zoomScaleNormal="100" workbookViewId="0">
      <selection activeCell="H21" sqref="H21"/>
    </sheetView>
  </sheetViews>
  <sheetFormatPr defaultRowHeight="15" x14ac:dyDescent="0.25"/>
  <cols>
    <col min="2" max="2" width="5.140625" customWidth="1"/>
    <col min="3" max="3" width="19.85546875" bestFit="1" customWidth="1"/>
    <col min="4" max="4" width="11.5703125" bestFit="1" customWidth="1"/>
    <col min="5" max="5" width="21.5703125" bestFit="1" customWidth="1"/>
    <col min="6" max="11" width="11.28515625" bestFit="1" customWidth="1"/>
    <col min="12" max="12" width="11.28515625" customWidth="1"/>
    <col min="13" max="36" width="11.28515625" bestFit="1" customWidth="1"/>
    <col min="37" max="37" width="32" bestFit="1" customWidth="1"/>
    <col min="38" max="38" width="30.5703125" bestFit="1" customWidth="1"/>
  </cols>
  <sheetData>
    <row r="1" spans="1:40" x14ac:dyDescent="0.25">
      <c r="A1" s="5"/>
      <c r="B1" s="5"/>
      <c r="C1" s="5"/>
      <c r="D1" s="5"/>
      <c r="E1" s="5"/>
      <c r="F1" s="5"/>
      <c r="G1" s="18" t="s">
        <v>36</v>
      </c>
      <c r="H1" s="18"/>
      <c r="I1" s="18"/>
      <c r="J1" s="18"/>
      <c r="K1" s="18"/>
      <c r="L1" s="18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1:40" x14ac:dyDescent="0.25">
      <c r="A2" s="5"/>
      <c r="B2" s="5"/>
      <c r="C2" s="5"/>
      <c r="D2" s="5"/>
      <c r="E2" s="5"/>
      <c r="F2" s="5"/>
      <c r="G2" s="18"/>
      <c r="H2" s="18"/>
      <c r="I2" s="18"/>
      <c r="J2" s="18"/>
      <c r="K2" s="18"/>
      <c r="L2" s="1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5">
      <c r="A3" s="5"/>
      <c r="B3" s="5"/>
      <c r="C3" s="5"/>
      <c r="D3" s="5"/>
      <c r="E3" s="5"/>
      <c r="F3" s="5"/>
      <c r="G3" s="18"/>
      <c r="H3" s="18"/>
      <c r="I3" s="18"/>
      <c r="J3" s="18"/>
      <c r="K3" s="18"/>
      <c r="L3" s="1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5">
      <c r="A4" s="5"/>
      <c r="B4" s="8"/>
      <c r="C4" s="1" t="s">
        <v>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5">
      <c r="A5" s="5"/>
      <c r="B5" s="12"/>
      <c r="C5" s="1" t="s">
        <v>34</v>
      </c>
      <c r="D5" s="5"/>
      <c r="E5" s="5"/>
      <c r="F5" s="5"/>
      <c r="G5" s="21" t="s">
        <v>53</v>
      </c>
      <c r="H5" s="19"/>
      <c r="I5" s="19"/>
      <c r="J5" s="19"/>
      <c r="K5" s="19"/>
      <c r="L5" s="1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5">
      <c r="A6" s="5"/>
      <c r="B6" s="13"/>
      <c r="C6" s="1" t="s">
        <v>35</v>
      </c>
      <c r="D6" s="5"/>
      <c r="E6" s="5"/>
      <c r="F6" s="6"/>
      <c r="G6" s="19"/>
      <c r="H6" s="19"/>
      <c r="I6" s="19"/>
      <c r="J6" s="19"/>
      <c r="K6" s="19"/>
      <c r="L6" s="1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5">
      <c r="A7" s="5"/>
      <c r="B7" s="5"/>
      <c r="C7" s="5"/>
      <c r="D7" s="5"/>
      <c r="E7" s="5"/>
      <c r="F7" s="6"/>
      <c r="G7" s="19"/>
      <c r="H7" s="19"/>
      <c r="I7" s="19"/>
      <c r="J7" s="19"/>
      <c r="K7" s="19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5"/>
      <c r="AE7" s="2"/>
      <c r="AF7" s="2"/>
      <c r="AG7" s="2"/>
      <c r="AH7" s="7"/>
      <c r="AI7" s="5"/>
      <c r="AJ7" s="5"/>
      <c r="AK7" s="5"/>
      <c r="AL7" s="5"/>
      <c r="AM7" s="5"/>
      <c r="AN7" s="5"/>
    </row>
    <row r="8" spans="1:4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5">
      <c r="A9" s="5"/>
      <c r="B9" s="5"/>
      <c r="C9" s="5"/>
      <c r="D9" s="5"/>
      <c r="E9" s="5"/>
      <c r="F9" s="4" t="str">
        <f>TEXT(F10, "ddd")</f>
        <v>Mon</v>
      </c>
      <c r="G9" s="4" t="str">
        <f t="shared" ref="G9:AJ9" si="0">TEXT(G10, "ddd")</f>
        <v>Tue</v>
      </c>
      <c r="H9" s="4" t="str">
        <f t="shared" si="0"/>
        <v>Wed</v>
      </c>
      <c r="I9" s="4" t="str">
        <f t="shared" si="0"/>
        <v>Thu</v>
      </c>
      <c r="J9" s="4" t="str">
        <f t="shared" si="0"/>
        <v>Fri</v>
      </c>
      <c r="K9" s="4" t="str">
        <f t="shared" si="0"/>
        <v>Sat</v>
      </c>
      <c r="L9" s="4" t="str">
        <f t="shared" si="0"/>
        <v>Sun</v>
      </c>
      <c r="M9" s="4" t="str">
        <f t="shared" si="0"/>
        <v>Mon</v>
      </c>
      <c r="N9" s="4" t="str">
        <f t="shared" si="0"/>
        <v>Tue</v>
      </c>
      <c r="O9" s="4" t="str">
        <f t="shared" si="0"/>
        <v>Wed</v>
      </c>
      <c r="P9" s="4" t="str">
        <f t="shared" si="0"/>
        <v>Thu</v>
      </c>
      <c r="Q9" s="4" t="str">
        <f t="shared" si="0"/>
        <v>Fri</v>
      </c>
      <c r="R9" s="4" t="str">
        <f t="shared" si="0"/>
        <v>Sat</v>
      </c>
      <c r="S9" s="4" t="str">
        <f t="shared" si="0"/>
        <v>Sun</v>
      </c>
      <c r="T9" s="4" t="str">
        <f t="shared" si="0"/>
        <v>Mon</v>
      </c>
      <c r="U9" s="4" t="str">
        <f t="shared" si="0"/>
        <v>Tue</v>
      </c>
      <c r="V9" s="4" t="str">
        <f t="shared" si="0"/>
        <v>Wed</v>
      </c>
      <c r="W9" s="4" t="str">
        <f t="shared" si="0"/>
        <v>Thu</v>
      </c>
      <c r="X9" s="4" t="str">
        <f t="shared" si="0"/>
        <v>Fri</v>
      </c>
      <c r="Y9" s="4" t="str">
        <f t="shared" si="0"/>
        <v>Sat</v>
      </c>
      <c r="Z9" s="4" t="str">
        <f t="shared" si="0"/>
        <v>Sun</v>
      </c>
      <c r="AA9" s="4" t="str">
        <f t="shared" si="0"/>
        <v>Mon</v>
      </c>
      <c r="AB9" s="4" t="str">
        <f t="shared" si="0"/>
        <v>Tue</v>
      </c>
      <c r="AC9" s="4" t="str">
        <f t="shared" si="0"/>
        <v>Wed</v>
      </c>
      <c r="AD9" s="4" t="str">
        <f t="shared" si="0"/>
        <v>Thu</v>
      </c>
      <c r="AE9" s="4" t="str">
        <f t="shared" si="0"/>
        <v>Fri</v>
      </c>
      <c r="AF9" s="4" t="str">
        <f t="shared" si="0"/>
        <v>Sat</v>
      </c>
      <c r="AG9" s="4" t="str">
        <f t="shared" si="0"/>
        <v>Sun</v>
      </c>
      <c r="AH9" s="4" t="str">
        <f t="shared" si="0"/>
        <v>Mon</v>
      </c>
      <c r="AI9" s="4" t="str">
        <f t="shared" si="0"/>
        <v>Tue</v>
      </c>
      <c r="AJ9" s="4" t="str">
        <f t="shared" si="0"/>
        <v>Wed</v>
      </c>
      <c r="AK9" s="20" t="s">
        <v>40</v>
      </c>
      <c r="AL9" s="20" t="s">
        <v>41</v>
      </c>
      <c r="AN9" s="5"/>
    </row>
    <row r="10" spans="1:40" ht="16.5" x14ac:dyDescent="0.3">
      <c r="A10" s="5"/>
      <c r="B10" s="5"/>
      <c r="C10" s="9" t="s">
        <v>0</v>
      </c>
      <c r="D10" s="9" t="s">
        <v>2</v>
      </c>
      <c r="E10" s="9" t="s">
        <v>1</v>
      </c>
      <c r="F10" s="3">
        <f>DATE(2025, 12, 1)</f>
        <v>45992</v>
      </c>
      <c r="G10" s="3">
        <f>IF(F10&lt;E63,F10+1,"""")</f>
        <v>45993</v>
      </c>
      <c r="H10" s="3">
        <f t="shared" ref="H10:AJ10" si="1">IF(G10&lt;$E$63, G10+1, "")</f>
        <v>45994</v>
      </c>
      <c r="I10" s="3">
        <f t="shared" si="1"/>
        <v>45995</v>
      </c>
      <c r="J10" s="3">
        <f t="shared" si="1"/>
        <v>45996</v>
      </c>
      <c r="K10" s="3">
        <f t="shared" si="1"/>
        <v>45997</v>
      </c>
      <c r="L10" s="3">
        <f t="shared" si="1"/>
        <v>45998</v>
      </c>
      <c r="M10" s="3">
        <f t="shared" si="1"/>
        <v>45999</v>
      </c>
      <c r="N10" s="3">
        <f t="shared" si="1"/>
        <v>46000</v>
      </c>
      <c r="O10" s="3">
        <f t="shared" si="1"/>
        <v>46001</v>
      </c>
      <c r="P10" s="3">
        <f t="shared" si="1"/>
        <v>46002</v>
      </c>
      <c r="Q10" s="3">
        <f t="shared" si="1"/>
        <v>46003</v>
      </c>
      <c r="R10" s="3">
        <f t="shared" si="1"/>
        <v>46004</v>
      </c>
      <c r="S10" s="3">
        <f t="shared" si="1"/>
        <v>46005</v>
      </c>
      <c r="T10" s="3">
        <f t="shared" si="1"/>
        <v>46006</v>
      </c>
      <c r="U10" s="3">
        <f t="shared" si="1"/>
        <v>46007</v>
      </c>
      <c r="V10" s="3">
        <f t="shared" si="1"/>
        <v>46008</v>
      </c>
      <c r="W10" s="3">
        <f t="shared" si="1"/>
        <v>46009</v>
      </c>
      <c r="X10" s="3">
        <f t="shared" si="1"/>
        <v>46010</v>
      </c>
      <c r="Y10" s="3">
        <f t="shared" si="1"/>
        <v>46011</v>
      </c>
      <c r="Z10" s="3">
        <f t="shared" si="1"/>
        <v>46012</v>
      </c>
      <c r="AA10" s="3">
        <f t="shared" si="1"/>
        <v>46013</v>
      </c>
      <c r="AB10" s="3">
        <f t="shared" si="1"/>
        <v>46014</v>
      </c>
      <c r="AC10" s="3">
        <f t="shared" si="1"/>
        <v>46015</v>
      </c>
      <c r="AD10" s="3">
        <f t="shared" si="1"/>
        <v>46016</v>
      </c>
      <c r="AE10" s="3">
        <f t="shared" si="1"/>
        <v>46017</v>
      </c>
      <c r="AF10" s="3">
        <f t="shared" si="1"/>
        <v>46018</v>
      </c>
      <c r="AG10" s="3">
        <f t="shared" si="1"/>
        <v>46019</v>
      </c>
      <c r="AH10" s="3">
        <f t="shared" si="1"/>
        <v>46020</v>
      </c>
      <c r="AI10" s="3">
        <f t="shared" si="1"/>
        <v>46021</v>
      </c>
      <c r="AJ10" s="3">
        <f t="shared" si="1"/>
        <v>46022</v>
      </c>
      <c r="AK10" s="20"/>
      <c r="AL10" s="20"/>
      <c r="AN10" s="5"/>
    </row>
    <row r="11" spans="1:40" ht="15.75" x14ac:dyDescent="0.25">
      <c r="A11" s="5"/>
      <c r="B11" s="5"/>
      <c r="C11" s="1">
        <v>756</v>
      </c>
      <c r="D11" s="1">
        <v>1</v>
      </c>
      <c r="E11" s="1" t="s">
        <v>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">
        <f t="shared" ref="AK11:AK40" si="2">COUNTIF(F11:AJ11, "P")</f>
        <v>0</v>
      </c>
      <c r="AL11" s="14">
        <f>AK11*100/27</f>
        <v>0</v>
      </c>
      <c r="AN11" s="5"/>
    </row>
    <row r="12" spans="1:40" ht="15.75" x14ac:dyDescent="0.25">
      <c r="A12" s="5"/>
      <c r="B12" s="5"/>
      <c r="C12" s="1">
        <v>757</v>
      </c>
      <c r="D12" s="1">
        <v>2</v>
      </c>
      <c r="E12" s="1" t="s">
        <v>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">
        <f t="shared" si="2"/>
        <v>0</v>
      </c>
      <c r="AL12" s="14">
        <f t="shared" ref="AL12:AL40" si="3">AK12*100/27</f>
        <v>0</v>
      </c>
      <c r="AN12" s="5"/>
    </row>
    <row r="13" spans="1:40" ht="15.75" x14ac:dyDescent="0.25">
      <c r="A13" s="5"/>
      <c r="B13" s="5"/>
      <c r="C13" s="1">
        <v>758</v>
      </c>
      <c r="D13" s="1">
        <v>3</v>
      </c>
      <c r="E13" s="1" t="s">
        <v>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">
        <f t="shared" si="2"/>
        <v>0</v>
      </c>
      <c r="AL13" s="14">
        <f t="shared" si="3"/>
        <v>0</v>
      </c>
      <c r="AN13" s="5"/>
    </row>
    <row r="14" spans="1:40" ht="15.75" x14ac:dyDescent="0.25">
      <c r="A14" s="5"/>
      <c r="B14" s="5"/>
      <c r="C14" s="1">
        <v>759</v>
      </c>
      <c r="D14" s="1">
        <v>4</v>
      </c>
      <c r="E14" s="1" t="s">
        <v>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">
        <f t="shared" si="2"/>
        <v>0</v>
      </c>
      <c r="AL14" s="14">
        <f t="shared" si="3"/>
        <v>0</v>
      </c>
      <c r="AN14" s="5"/>
    </row>
    <row r="15" spans="1:40" ht="15.75" x14ac:dyDescent="0.25">
      <c r="A15" s="5"/>
      <c r="B15" s="5"/>
      <c r="C15" s="1">
        <v>760</v>
      </c>
      <c r="D15" s="1">
        <v>5</v>
      </c>
      <c r="E15" s="1" t="s">
        <v>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">
        <f t="shared" si="2"/>
        <v>0</v>
      </c>
      <c r="AL15" s="14">
        <f t="shared" si="3"/>
        <v>0</v>
      </c>
      <c r="AN15" s="5"/>
    </row>
    <row r="16" spans="1:40" ht="15.75" x14ac:dyDescent="0.25">
      <c r="A16" s="5"/>
      <c r="B16" s="5"/>
      <c r="C16" s="1">
        <v>761</v>
      </c>
      <c r="D16" s="1">
        <v>6</v>
      </c>
      <c r="E16" s="1" t="s">
        <v>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">
        <f t="shared" si="2"/>
        <v>0</v>
      </c>
      <c r="AL16" s="14">
        <f t="shared" si="3"/>
        <v>0</v>
      </c>
      <c r="AN16" s="5"/>
    </row>
    <row r="17" spans="1:40" ht="15.75" x14ac:dyDescent="0.25">
      <c r="A17" s="5"/>
      <c r="B17" s="5"/>
      <c r="C17" s="1">
        <v>762</v>
      </c>
      <c r="D17" s="1">
        <v>7</v>
      </c>
      <c r="E17" s="1" t="s">
        <v>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">
        <f t="shared" si="2"/>
        <v>0</v>
      </c>
      <c r="AL17" s="14">
        <f t="shared" si="3"/>
        <v>0</v>
      </c>
      <c r="AN17" s="5"/>
    </row>
    <row r="18" spans="1:40" ht="15.75" x14ac:dyDescent="0.25">
      <c r="A18" s="5"/>
      <c r="B18" s="5"/>
      <c r="C18" s="1">
        <v>763</v>
      </c>
      <c r="D18" s="1">
        <v>8</v>
      </c>
      <c r="E18" s="1" t="s">
        <v>10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">
        <f t="shared" si="2"/>
        <v>0</v>
      </c>
      <c r="AL18" s="14">
        <f t="shared" si="3"/>
        <v>0</v>
      </c>
      <c r="AN18" s="5"/>
    </row>
    <row r="19" spans="1:40" ht="15.75" x14ac:dyDescent="0.25">
      <c r="A19" s="5"/>
      <c r="B19" s="5"/>
      <c r="C19" s="1">
        <v>764</v>
      </c>
      <c r="D19" s="1">
        <v>9</v>
      </c>
      <c r="E19" s="1" t="s">
        <v>11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">
        <f t="shared" si="2"/>
        <v>0</v>
      </c>
      <c r="AL19" s="14">
        <f t="shared" si="3"/>
        <v>0</v>
      </c>
      <c r="AN19" s="5"/>
    </row>
    <row r="20" spans="1:40" ht="15.75" x14ac:dyDescent="0.25">
      <c r="A20" s="5"/>
      <c r="B20" s="5"/>
      <c r="C20" s="1">
        <v>765</v>
      </c>
      <c r="D20" s="1">
        <v>10</v>
      </c>
      <c r="E20" s="1" t="s">
        <v>12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">
        <f t="shared" si="2"/>
        <v>0</v>
      </c>
      <c r="AL20" s="14">
        <f t="shared" si="3"/>
        <v>0</v>
      </c>
      <c r="AN20" s="5"/>
    </row>
    <row r="21" spans="1:40" ht="15.75" x14ac:dyDescent="0.25">
      <c r="A21" s="5"/>
      <c r="B21" s="5"/>
      <c r="C21" s="1">
        <v>766</v>
      </c>
      <c r="D21" s="1">
        <v>11</v>
      </c>
      <c r="E21" s="1" t="s">
        <v>13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">
        <f t="shared" si="2"/>
        <v>0</v>
      </c>
      <c r="AL21" s="14">
        <f t="shared" si="3"/>
        <v>0</v>
      </c>
      <c r="AN21" s="5"/>
    </row>
    <row r="22" spans="1:40" ht="15.75" x14ac:dyDescent="0.25">
      <c r="A22" s="5"/>
      <c r="B22" s="5"/>
      <c r="C22" s="1">
        <v>767</v>
      </c>
      <c r="D22" s="1">
        <v>12</v>
      </c>
      <c r="E22" s="1" t="s">
        <v>14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">
        <f t="shared" si="2"/>
        <v>0</v>
      </c>
      <c r="AL22" s="14">
        <f t="shared" si="3"/>
        <v>0</v>
      </c>
      <c r="AN22" s="5"/>
    </row>
    <row r="23" spans="1:40" ht="15.75" x14ac:dyDescent="0.25">
      <c r="A23" s="5"/>
      <c r="B23" s="5"/>
      <c r="C23" s="1">
        <v>768</v>
      </c>
      <c r="D23" s="1">
        <v>13</v>
      </c>
      <c r="E23" s="1" t="s">
        <v>15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">
        <f t="shared" si="2"/>
        <v>0</v>
      </c>
      <c r="AL23" s="14">
        <f t="shared" si="3"/>
        <v>0</v>
      </c>
      <c r="AN23" s="5"/>
    </row>
    <row r="24" spans="1:40" ht="15.75" x14ac:dyDescent="0.25">
      <c r="A24" s="5"/>
      <c r="B24" s="5"/>
      <c r="C24" s="1">
        <v>769</v>
      </c>
      <c r="D24" s="1">
        <v>14</v>
      </c>
      <c r="E24" s="1" t="s">
        <v>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">
        <f t="shared" si="2"/>
        <v>0</v>
      </c>
      <c r="AL24" s="14">
        <f t="shared" si="3"/>
        <v>0</v>
      </c>
      <c r="AN24" s="5"/>
    </row>
    <row r="25" spans="1:40" ht="15.75" x14ac:dyDescent="0.25">
      <c r="A25" s="5"/>
      <c r="B25" s="5"/>
      <c r="C25" s="1">
        <v>770</v>
      </c>
      <c r="D25" s="1">
        <v>15</v>
      </c>
      <c r="E25" s="1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">
        <f t="shared" si="2"/>
        <v>0</v>
      </c>
      <c r="AL25" s="14">
        <f t="shared" si="3"/>
        <v>0</v>
      </c>
      <c r="AN25" s="5"/>
    </row>
    <row r="26" spans="1:40" ht="15.75" x14ac:dyDescent="0.25">
      <c r="A26" s="5"/>
      <c r="B26" s="5"/>
      <c r="C26" s="1">
        <v>771</v>
      </c>
      <c r="D26" s="1">
        <v>16</v>
      </c>
      <c r="E26" s="1" t="s">
        <v>18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">
        <f t="shared" si="2"/>
        <v>0</v>
      </c>
      <c r="AL26" s="14">
        <f t="shared" si="3"/>
        <v>0</v>
      </c>
      <c r="AN26" s="5"/>
    </row>
    <row r="27" spans="1:40" ht="15.75" x14ac:dyDescent="0.25">
      <c r="A27" s="5"/>
      <c r="B27" s="5"/>
      <c r="C27" s="1">
        <v>772</v>
      </c>
      <c r="D27" s="1">
        <v>17</v>
      </c>
      <c r="E27" s="1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">
        <f t="shared" si="2"/>
        <v>0</v>
      </c>
      <c r="AL27" s="14">
        <f t="shared" si="3"/>
        <v>0</v>
      </c>
      <c r="AN27" s="5"/>
    </row>
    <row r="28" spans="1:40" ht="15.75" x14ac:dyDescent="0.25">
      <c r="A28" s="5"/>
      <c r="B28" s="5"/>
      <c r="C28" s="1">
        <v>773</v>
      </c>
      <c r="D28" s="1">
        <v>18</v>
      </c>
      <c r="E28" s="1" t="s">
        <v>20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">
        <f t="shared" si="2"/>
        <v>0</v>
      </c>
      <c r="AL28" s="14">
        <f t="shared" si="3"/>
        <v>0</v>
      </c>
      <c r="AN28" s="5"/>
    </row>
    <row r="29" spans="1:40" ht="15.75" x14ac:dyDescent="0.25">
      <c r="A29" s="5"/>
      <c r="B29" s="5"/>
      <c r="C29" s="1">
        <v>774</v>
      </c>
      <c r="D29" s="1">
        <v>19</v>
      </c>
      <c r="E29" s="1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">
        <f t="shared" si="2"/>
        <v>0</v>
      </c>
      <c r="AL29" s="14">
        <f t="shared" si="3"/>
        <v>0</v>
      </c>
      <c r="AN29" s="5"/>
    </row>
    <row r="30" spans="1:40" ht="15.75" x14ac:dyDescent="0.25">
      <c r="A30" s="5"/>
      <c r="B30" s="5"/>
      <c r="C30" s="1">
        <v>775</v>
      </c>
      <c r="D30" s="1">
        <v>20</v>
      </c>
      <c r="E30" s="1" t="s">
        <v>22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">
        <f t="shared" si="2"/>
        <v>0</v>
      </c>
      <c r="AL30" s="14">
        <f t="shared" si="3"/>
        <v>0</v>
      </c>
      <c r="AN30" s="5"/>
    </row>
    <row r="31" spans="1:40" ht="15.75" x14ac:dyDescent="0.25">
      <c r="A31" s="5"/>
      <c r="B31" s="5"/>
      <c r="C31" s="1">
        <v>776</v>
      </c>
      <c r="D31" s="1">
        <v>21</v>
      </c>
      <c r="E31" s="1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">
        <f t="shared" si="2"/>
        <v>0</v>
      </c>
      <c r="AL31" s="14">
        <f t="shared" si="3"/>
        <v>0</v>
      </c>
      <c r="AN31" s="5"/>
    </row>
    <row r="32" spans="1:40" ht="15.75" x14ac:dyDescent="0.25">
      <c r="A32" s="5"/>
      <c r="B32" s="5"/>
      <c r="C32" s="1">
        <v>777</v>
      </c>
      <c r="D32" s="1">
        <v>22</v>
      </c>
      <c r="E32" s="1" t="s">
        <v>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">
        <f t="shared" si="2"/>
        <v>0</v>
      </c>
      <c r="AL32" s="14">
        <f t="shared" si="3"/>
        <v>0</v>
      </c>
      <c r="AN32" s="5"/>
    </row>
    <row r="33" spans="1:40" ht="15.75" x14ac:dyDescent="0.25">
      <c r="A33" s="5"/>
      <c r="B33" s="5"/>
      <c r="C33" s="1">
        <v>778</v>
      </c>
      <c r="D33" s="1">
        <v>23</v>
      </c>
      <c r="E33" s="1" t="s">
        <v>25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">
        <f t="shared" si="2"/>
        <v>0</v>
      </c>
      <c r="AL33" s="14">
        <f t="shared" si="3"/>
        <v>0</v>
      </c>
      <c r="AN33" s="5"/>
    </row>
    <row r="34" spans="1:40" ht="15.75" x14ac:dyDescent="0.25">
      <c r="A34" s="5"/>
      <c r="B34" s="5"/>
      <c r="C34" s="1">
        <v>779</v>
      </c>
      <c r="D34" s="1">
        <v>24</v>
      </c>
      <c r="E34" s="1" t="s">
        <v>26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">
        <f t="shared" si="2"/>
        <v>0</v>
      </c>
      <c r="AL34" s="14">
        <f t="shared" si="3"/>
        <v>0</v>
      </c>
      <c r="AN34" s="5"/>
    </row>
    <row r="35" spans="1:40" ht="15.75" x14ac:dyDescent="0.25">
      <c r="A35" s="5"/>
      <c r="B35" s="5"/>
      <c r="C35" s="1">
        <v>780</v>
      </c>
      <c r="D35" s="1">
        <v>25</v>
      </c>
      <c r="E35" s="1" t="s">
        <v>27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">
        <f t="shared" si="2"/>
        <v>0</v>
      </c>
      <c r="AL35" s="14">
        <f t="shared" si="3"/>
        <v>0</v>
      </c>
      <c r="AN35" s="5"/>
    </row>
    <row r="36" spans="1:40" ht="15.75" x14ac:dyDescent="0.25">
      <c r="A36" s="5"/>
      <c r="B36" s="5"/>
      <c r="C36" s="1">
        <v>781</v>
      </c>
      <c r="D36" s="1">
        <v>26</v>
      </c>
      <c r="E36" s="1" t="s">
        <v>28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">
        <f t="shared" si="2"/>
        <v>0</v>
      </c>
      <c r="AL36" s="14">
        <f t="shared" si="3"/>
        <v>0</v>
      </c>
      <c r="AN36" s="5"/>
    </row>
    <row r="37" spans="1:40" ht="15.75" x14ac:dyDescent="0.25">
      <c r="A37" s="5"/>
      <c r="B37" s="5"/>
      <c r="C37" s="1">
        <v>782</v>
      </c>
      <c r="D37" s="1">
        <v>27</v>
      </c>
      <c r="E37" s="1" t="s">
        <v>29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">
        <f t="shared" si="2"/>
        <v>0</v>
      </c>
      <c r="AL37" s="14">
        <f t="shared" si="3"/>
        <v>0</v>
      </c>
      <c r="AN37" s="5"/>
    </row>
    <row r="38" spans="1:40" ht="15.75" x14ac:dyDescent="0.25">
      <c r="A38" s="5"/>
      <c r="B38" s="5"/>
      <c r="C38" s="1">
        <v>783</v>
      </c>
      <c r="D38" s="1">
        <v>28</v>
      </c>
      <c r="E38" s="1" t="s">
        <v>30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">
        <f t="shared" si="2"/>
        <v>0</v>
      </c>
      <c r="AL38" s="14">
        <f t="shared" si="3"/>
        <v>0</v>
      </c>
      <c r="AN38" s="5"/>
    </row>
    <row r="39" spans="1:40" ht="15.75" x14ac:dyDescent="0.25">
      <c r="A39" s="5"/>
      <c r="B39" s="5"/>
      <c r="C39" s="1">
        <v>784</v>
      </c>
      <c r="D39" s="1">
        <v>29</v>
      </c>
      <c r="E39" s="1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">
        <f t="shared" si="2"/>
        <v>0</v>
      </c>
      <c r="AL39" s="14">
        <f t="shared" si="3"/>
        <v>0</v>
      </c>
      <c r="AN39" s="5"/>
    </row>
    <row r="40" spans="1:40" ht="15.75" x14ac:dyDescent="0.25">
      <c r="A40" s="5"/>
      <c r="B40" s="5"/>
      <c r="C40" s="1">
        <v>785</v>
      </c>
      <c r="D40" s="1">
        <v>30</v>
      </c>
      <c r="E40" s="1" t="s">
        <v>32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">
        <f t="shared" si="2"/>
        <v>0</v>
      </c>
      <c r="AL40" s="14">
        <f t="shared" si="3"/>
        <v>0</v>
      </c>
      <c r="AN40" s="5"/>
    </row>
    <row r="41" spans="1:40" x14ac:dyDescent="0.25">
      <c r="A41" s="5"/>
      <c r="B41" s="5"/>
      <c r="C41" s="1"/>
      <c r="D41" s="1"/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8" x14ac:dyDescent="0.25">
      <c r="A42" s="5"/>
      <c r="B42" s="5"/>
      <c r="C42" s="1"/>
      <c r="D42" s="1"/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15" t="s">
        <v>42</v>
      </c>
      <c r="AN42" s="5"/>
    </row>
    <row r="43" spans="1:40" x14ac:dyDescent="0.25">
      <c r="A43" s="5"/>
      <c r="B43" s="5"/>
      <c r="C43" s="1"/>
      <c r="D43" s="1"/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1"/>
      <c r="AM43" s="5"/>
      <c r="AN43" s="5"/>
    </row>
    <row r="44" spans="1:4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14">
        <f>E62*100/810</f>
        <v>0</v>
      </c>
      <c r="AN44" s="5"/>
    </row>
    <row r="45" spans="1:4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"/>
      <c r="AM46" s="5"/>
      <c r="AN46" s="5"/>
    </row>
    <row r="47" spans="1:4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5">
      <c r="A62" s="5"/>
      <c r="B62" s="5"/>
      <c r="C62" s="5"/>
      <c r="D62" s="5"/>
      <c r="E62" s="14">
        <f>SUM(AK11:AK40)</f>
        <v>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5">
      <c r="A63" s="5"/>
      <c r="B63" s="5"/>
      <c r="C63" s="5"/>
      <c r="D63" s="5"/>
      <c r="E63" s="2">
        <f>DATE(2025, 12, 31)</f>
        <v>46022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</sheetData>
  <mergeCells count="4">
    <mergeCell ref="G1:L3"/>
    <mergeCell ref="G5:L7"/>
    <mergeCell ref="AK9:AK10"/>
    <mergeCell ref="AL9:AL10"/>
  </mergeCells>
  <conditionalFormatting sqref="F9:AJ10 F11:AF40">
    <cfRule type="expression" dxfId="46" priority="19">
      <formula>F$9="Sun"</formula>
    </cfRule>
  </conditionalFormatting>
  <conditionalFormatting sqref="AE11:AJ40">
    <cfRule type="cellIs" dxfId="45" priority="20" operator="equal">
      <formula>"L"</formula>
    </cfRule>
    <cfRule type="cellIs" dxfId="44" priority="20" operator="equal">
      <formula>"L"</formula>
    </cfRule>
    <cfRule type="cellIs" dxfId="43" priority="21" operator="equal">
      <formula>"L"</formula>
    </cfRule>
    <cfRule type="cellIs" dxfId="42" priority="22" operator="equal">
      <formula>"A"</formula>
    </cfRule>
    <cfRule type="cellIs" dxfId="41" priority="23" operator="equal">
      <formula>"P"</formula>
    </cfRule>
    <cfRule type="cellIs" dxfId="40" priority="24" operator="equal">
      <formula>"P"</formula>
    </cfRule>
  </conditionalFormatting>
  <conditionalFormatting sqref="F6:F7 M5:AC7 G5 E63 F9:AJ10 F11:AF40">
    <cfRule type="cellIs" dxfId="39" priority="44" operator="equal">
      <formula>"Leave"</formula>
    </cfRule>
    <cfRule type="cellIs" dxfId="38" priority="45" operator="equal">
      <formula>"Absant"</formula>
    </cfRule>
    <cfRule type="cellIs" dxfId="37" priority="46" operator="equal">
      <formula>"Present"</formula>
    </cfRule>
  </conditionalFormatting>
  <conditionalFormatting sqref="F9:AJ9">
    <cfRule type="cellIs" dxfId="36" priority="42" operator="equal">
      <formula>"Sun"</formula>
    </cfRule>
  </conditionalFormatting>
  <conditionalFormatting sqref="F11:AF40">
    <cfRule type="cellIs" dxfId="35" priority="36" operator="equal">
      <formula>"L"</formula>
    </cfRule>
    <cfRule type="cellIs" dxfId="34" priority="37" operator="equal">
      <formula>"L"</formula>
    </cfRule>
    <cfRule type="cellIs" dxfId="33" priority="38" operator="equal">
      <formula>"L"</formula>
    </cfRule>
    <cfRule type="cellIs" dxfId="32" priority="39" operator="equal">
      <formula>"A"</formula>
    </cfRule>
    <cfRule type="cellIs" dxfId="31" priority="40" operator="equal">
      <formula>"P"</formula>
    </cfRule>
    <cfRule type="cellIs" dxfId="30" priority="41" operator="equal">
      <formula>"P"</formula>
    </cfRule>
  </conditionalFormatting>
  <conditionalFormatting sqref="F11:K40">
    <cfRule type="expression" dxfId="29" priority="48">
      <formula>#REF!="Sun"</formula>
    </cfRule>
  </conditionalFormatting>
  <conditionalFormatting sqref="F11:R40">
    <cfRule type="expression" dxfId="28" priority="35">
      <formula>#REF!="Sun"</formula>
    </cfRule>
  </conditionalFormatting>
  <conditionalFormatting sqref="O11:T40">
    <cfRule type="expression" dxfId="27" priority="34">
      <formula>#REF!="Sun"</formula>
    </cfRule>
  </conditionalFormatting>
  <conditionalFormatting sqref="V11:AA40">
    <cfRule type="expression" dxfId="26" priority="33">
      <formula>#REF!="Sun"</formula>
    </cfRule>
  </conditionalFormatting>
  <conditionalFormatting sqref="AC11:AD40">
    <cfRule type="expression" dxfId="25" priority="32">
      <formula>#REF!="Sun"</formula>
    </cfRule>
  </conditionalFormatting>
  <conditionalFormatting sqref="J11:O40">
    <cfRule type="expression" dxfId="24" priority="31">
      <formula>#REF!="Sun"</formula>
    </cfRule>
  </conditionalFormatting>
  <conditionalFormatting sqref="Q11:V40">
    <cfRule type="expression" dxfId="23" priority="30">
      <formula>#REF!="Sun"</formula>
    </cfRule>
  </conditionalFormatting>
  <conditionalFormatting sqref="X11:AC40">
    <cfRule type="expression" dxfId="22" priority="29">
      <formula>#REF!="Sun"</formula>
    </cfRule>
  </conditionalFormatting>
  <conditionalFormatting sqref="AE11:AJ40">
    <cfRule type="cellIs" dxfId="21" priority="25" operator="equal">
      <formula>"Leave"</formula>
    </cfRule>
    <cfRule type="cellIs" dxfId="20" priority="26" operator="equal">
      <formula>"Absant"</formula>
    </cfRule>
    <cfRule type="cellIs" dxfId="19" priority="27" operator="equal">
      <formula>"Present"</formula>
    </cfRule>
  </conditionalFormatting>
  <conditionalFormatting sqref="AE11:AJ40">
    <cfRule type="expression" dxfId="18" priority="28">
      <formula>#REF!="Sun"</formula>
    </cfRule>
  </conditionalFormatting>
  <conditionalFormatting sqref="F11:AJ40">
    <cfRule type="expression" dxfId="17" priority="18">
      <formula>F$9="Sun"</formula>
    </cfRule>
  </conditionalFormatting>
  <conditionalFormatting sqref="M11:R40">
    <cfRule type="expression" dxfId="16" priority="17">
      <formula>#REF!="Sun"</formula>
    </cfRule>
  </conditionalFormatting>
  <conditionalFormatting sqref="T11:Y40">
    <cfRule type="expression" dxfId="15" priority="16">
      <formula>#REF!="Sun"</formula>
    </cfRule>
  </conditionalFormatting>
  <conditionalFormatting sqref="T11:Y40">
    <cfRule type="expression" dxfId="14" priority="15">
      <formula>#REF!="Sun"</formula>
    </cfRule>
  </conditionalFormatting>
  <conditionalFormatting sqref="AA11:AF40">
    <cfRule type="expression" dxfId="13" priority="14">
      <formula>#REF!="Sun"</formula>
    </cfRule>
  </conditionalFormatting>
  <conditionalFormatting sqref="AA11:AF40">
    <cfRule type="expression" dxfId="12" priority="13">
      <formula>#REF!="Sun"</formula>
    </cfRule>
  </conditionalFormatting>
  <conditionalFormatting sqref="AH11:AJ40">
    <cfRule type="expression" dxfId="11" priority="1">
      <formula>AH$9="Sun"</formula>
    </cfRule>
  </conditionalFormatting>
  <conditionalFormatting sqref="AH11:AJ40">
    <cfRule type="cellIs" dxfId="10" priority="9" operator="equal">
      <formula>"Leave"</formula>
    </cfRule>
    <cfRule type="cellIs" dxfId="9" priority="10" operator="equal">
      <formula>"Absant"</formula>
    </cfRule>
    <cfRule type="cellIs" dxfId="8" priority="11" operator="equal">
      <formula>"Present"</formula>
    </cfRule>
  </conditionalFormatting>
  <conditionalFormatting sqref="AH11:AJ40">
    <cfRule type="cellIs" dxfId="7" priority="3" operator="equal">
      <formula>"L"</formula>
    </cfRule>
    <cfRule type="cellIs" dxfId="6" priority="4" operator="equal">
      <formula>"L"</formula>
    </cfRule>
    <cfRule type="cellIs" dxfId="5" priority="5" operator="equal">
      <formula>"L"</formula>
    </cfRule>
    <cfRule type="cellIs" dxfId="4" priority="6" operator="equal">
      <formula>"A"</formula>
    </cfRule>
    <cfRule type="cellIs" dxfId="3" priority="7" operator="equal">
      <formula>"P"</formula>
    </cfRule>
    <cfRule type="cellIs" dxfId="2" priority="8" operator="equal">
      <formula>"P"</formula>
    </cfRule>
  </conditionalFormatting>
  <conditionalFormatting sqref="AH11:AJ40">
    <cfRule type="expression" dxfId="1" priority="12">
      <formula>#REF!="Sun"</formula>
    </cfRule>
  </conditionalFormatting>
  <conditionalFormatting sqref="AH11:AJ40">
    <cfRule type="expression" dxfId="0" priority="2">
      <formula>#REF!="Sun"</formula>
    </cfRule>
  </conditionalFormatting>
  <dataValidations count="1">
    <dataValidation type="list" allowBlank="1" showInputMessage="1" showErrorMessage="1" sqref="F11:AJ40">
      <formula1>"P, A, 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Rafeeq</dc:creator>
  <cp:lastModifiedBy>saqib Rafeeq</cp:lastModifiedBy>
  <dcterms:created xsi:type="dcterms:W3CDTF">2025-08-26T13:25:19Z</dcterms:created>
  <dcterms:modified xsi:type="dcterms:W3CDTF">2025-11-09T09:40:36Z</dcterms:modified>
</cp:coreProperties>
</file>