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ductivity\Spreadsheets\"/>
    </mc:Choice>
  </mc:AlternateContent>
  <bookViews>
    <workbookView xWindow="0" yWindow="0" windowWidth="20490" windowHeight="7800"/>
  </bookViews>
  <sheets>
    <sheet name="Employee Time Schedul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2" l="1"/>
  <c r="M4" i="2"/>
  <c r="L4" i="2"/>
  <c r="N11" i="2" l="1"/>
  <c r="N23" i="2"/>
  <c r="M5" i="2"/>
  <c r="N5" i="2" s="1"/>
  <c r="M6" i="2"/>
  <c r="N6" i="2" s="1"/>
  <c r="M7" i="2"/>
  <c r="N7" i="2" s="1"/>
  <c r="M9" i="2"/>
  <c r="N9" i="2" s="1"/>
  <c r="M10" i="2"/>
  <c r="N10" i="2" s="1"/>
  <c r="M11" i="2"/>
  <c r="M12" i="2"/>
  <c r="N12" i="2" s="1"/>
  <c r="M13" i="2"/>
  <c r="N13" i="2" s="1"/>
  <c r="M14" i="2"/>
  <c r="N14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3" i="2"/>
  <c r="M24" i="2"/>
  <c r="N24" i="2" s="1"/>
  <c r="M25" i="2"/>
  <c r="N25" i="2" s="1"/>
  <c r="M26" i="2"/>
  <c r="N26" i="2" s="1"/>
  <c r="M27" i="2"/>
  <c r="N27" i="2" s="1"/>
  <c r="M28" i="2"/>
  <c r="N28" i="2" s="1"/>
  <c r="M30" i="2"/>
  <c r="N30" i="2" s="1"/>
  <c r="M31" i="2"/>
  <c r="N31" i="2" s="1"/>
  <c r="M32" i="2"/>
  <c r="N32" i="2" s="1"/>
  <c r="M33" i="2"/>
  <c r="N33" i="2" s="1"/>
  <c r="L5" i="2"/>
  <c r="L6" i="2"/>
  <c r="L7" i="2"/>
  <c r="L9" i="2"/>
  <c r="L10" i="2"/>
  <c r="L11" i="2"/>
  <c r="L12" i="2"/>
  <c r="L13" i="2"/>
  <c r="L14" i="2"/>
  <c r="L16" i="2"/>
  <c r="L17" i="2"/>
  <c r="L18" i="2"/>
  <c r="L19" i="2"/>
  <c r="L20" i="2"/>
  <c r="L21" i="2"/>
  <c r="L23" i="2"/>
  <c r="L24" i="2"/>
  <c r="L25" i="2"/>
  <c r="L26" i="2"/>
  <c r="L27" i="2"/>
  <c r="L28" i="2"/>
  <c r="L30" i="2"/>
  <c r="L31" i="2"/>
  <c r="L32" i="2"/>
  <c r="L33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4" i="2"/>
  <c r="D8" i="2" l="1"/>
  <c r="D10" i="2"/>
  <c r="D11" i="2" s="1"/>
  <c r="D9" i="2"/>
</calcChain>
</file>

<file path=xl/sharedStrings.xml><?xml version="1.0" encoding="utf-8"?>
<sst xmlns="http://schemas.openxmlformats.org/spreadsheetml/2006/main" count="19" uniqueCount="19">
  <si>
    <t>Department</t>
  </si>
  <si>
    <t>Salary</t>
  </si>
  <si>
    <t>Check In</t>
  </si>
  <si>
    <t>Break In</t>
  </si>
  <si>
    <t>Break Out</t>
  </si>
  <si>
    <t>Check Out</t>
  </si>
  <si>
    <t>Working Hours</t>
  </si>
  <si>
    <t>Overtime</t>
  </si>
  <si>
    <t>Overtime Payment</t>
  </si>
  <si>
    <t>Aftab Ali</t>
  </si>
  <si>
    <t>Software Development</t>
  </si>
  <si>
    <t>Date</t>
  </si>
  <si>
    <t>Day</t>
  </si>
  <si>
    <t>Net Salary</t>
  </si>
  <si>
    <t>Emp ID</t>
  </si>
  <si>
    <t>Emp Name</t>
  </si>
  <si>
    <t>Total Working Hrs</t>
  </si>
  <si>
    <t>Total Overtime Hrs</t>
  </si>
  <si>
    <t>Total Overtime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</si>
</sst>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Rs&quot;\ #,##0;[Red]\-&quot;Rs&quot;#,##0"/>
    <numFmt numFmtId="165" formatCode="h:mm\ &quot;hrs&quot;"/>
    <numFmt numFmtId="166" formatCode="&quot;Rs&quot;#,##0"/>
    <numFmt numFmtId="167" formatCode="[h]:mm\ &quot;hrs&quot;"/>
  </numFmts>
  <fonts count="3" x14ac:knownFonts="1">
    <font>
      <sz val="11"/>
      <color theme="1"/>
      <name val="Aptos"/>
      <family val="2"/>
    </font>
    <font>
      <b/>
      <sz val="11"/>
      <color theme="0"/>
      <name val="Aptos"/>
      <family val="2"/>
    </font>
    <font>
      <b/>
      <sz val="11"/>
      <color rgb="FFC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0" xfId="0" applyFill="1"/>
    <xf numFmtId="0" fontId="0" fillId="3" borderId="1" xfId="0" applyFill="1" applyBorder="1"/>
    <xf numFmtId="18" fontId="0" fillId="3" borderId="1" xfId="0" applyNumberFormat="1" applyFill="1" applyBorder="1"/>
    <xf numFmtId="165" fontId="0" fillId="3" borderId="1" xfId="0" applyNumberFormat="1" applyFill="1" applyBorder="1"/>
    <xf numFmtId="0" fontId="0" fillId="3" borderId="8" xfId="0" applyFill="1" applyBorder="1"/>
    <xf numFmtId="18" fontId="0" fillId="3" borderId="8" xfId="0" applyNumberFormat="1" applyFill="1" applyBorder="1"/>
    <xf numFmtId="165" fontId="0" fillId="3" borderId="8" xfId="0" applyNumberForma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0" fillId="3" borderId="5" xfId="0" applyNumberFormat="1" applyFill="1" applyBorder="1"/>
    <xf numFmtId="166" fontId="0" fillId="3" borderId="6" xfId="0" applyNumberFormat="1" applyFill="1" applyBorder="1"/>
    <xf numFmtId="14" fontId="0" fillId="3" borderId="7" xfId="0" applyNumberFormat="1" applyFill="1" applyBorder="1"/>
    <xf numFmtId="166" fontId="0" fillId="3" borderId="9" xfId="0" applyNumberFormat="1" applyFill="1" applyBorder="1"/>
    <xf numFmtId="0" fontId="2" fillId="3" borderId="0" xfId="0" applyFont="1" applyFill="1"/>
    <xf numFmtId="164" fontId="0" fillId="3" borderId="11" xfId="0" applyNumberFormat="1" applyFill="1" applyBorder="1"/>
    <xf numFmtId="0" fontId="0" fillId="3" borderId="10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164" fontId="0" fillId="3" borderId="11" xfId="0" applyNumberFormat="1" applyFill="1" applyBorder="1" applyAlignment="1">
      <alignment horizontal="left" vertical="center"/>
    </xf>
    <xf numFmtId="167" fontId="0" fillId="3" borderId="10" xfId="0" applyNumberFormat="1" applyFill="1" applyBorder="1"/>
    <xf numFmtId="167" fontId="0" fillId="3" borderId="11" xfId="0" applyNumberFormat="1" applyFill="1" applyBorder="1"/>
  </cellXfs>
  <cellStyles count="1">
    <cellStyle name="Normal" xfId="0" builtinId="0"/>
  </cellStyles>
  <dxfs count="15">
    <dxf>
      <numFmt numFmtId="166" formatCode="&quot;Rs&quot;#,##0"/>
      <fill>
        <patternFill>
          <fgColor indexed="64"/>
          <bgColor theme="0"/>
        </patternFill>
      </fill>
      <border diagonalUp="0" diagonalDown="0" outline="0">
        <left style="thin">
          <color rgb="FFC00000"/>
        </left>
        <right/>
        <top style="thin">
          <color rgb="FFC00000"/>
        </top>
        <bottom style="thin">
          <color rgb="FFC00000"/>
        </bottom>
      </border>
    </dxf>
    <dxf>
      <numFmt numFmtId="165" formatCode="h:mm\ &quot;hrs&quot;"/>
      <fill>
        <patternFill>
          <fgColor indexed="64"/>
          <bgColor theme="0"/>
        </patternFill>
      </fill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numFmt numFmtId="165" formatCode="h:mm\ &quot;hrs&quot;"/>
      <fill>
        <patternFill>
          <fgColor indexed="64"/>
          <bgColor theme="0"/>
        </patternFill>
      </fill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numFmt numFmtId="23" formatCode="h:mm\ AM/PM"/>
      <fill>
        <patternFill>
          <fgColor indexed="64"/>
          <bgColor theme="0"/>
        </patternFill>
      </fill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numFmt numFmtId="23" formatCode="h:mm\ AM/PM"/>
      <fill>
        <patternFill>
          <fgColor indexed="64"/>
          <bgColor theme="0"/>
        </patternFill>
      </fill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numFmt numFmtId="23" formatCode="h:mm\ AM/PM"/>
      <fill>
        <patternFill>
          <fgColor indexed="64"/>
          <bgColor theme="0"/>
        </patternFill>
      </fill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numFmt numFmtId="23" formatCode="h:mm\ AM/PM"/>
      <fill>
        <patternFill>
          <fgColor indexed="64"/>
          <bgColor theme="0"/>
        </patternFill>
      </fill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numFmt numFmtId="19" formatCode="dd/mm/yyyy"/>
      <fill>
        <patternFill>
          <fgColor indexed="64"/>
          <bgColor theme="0"/>
        </patternFill>
      </fill>
      <border diagonalUp="0" diagonalDown="0" outline="0">
        <left/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border>
        <top style="thin">
          <color rgb="FFC00000"/>
        </top>
      </border>
    </dxf>
    <dxf>
      <border diagonalUp="0" diagonalDown="0"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ill>
        <patternFill>
          <fgColor indexed="64"/>
          <bgColor theme="0"/>
        </patternFill>
      </fill>
    </dxf>
    <dxf>
      <border>
        <bottom style="thin">
          <color rgb="FFC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scheme val="none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00000"/>
        </left>
        <right style="thin">
          <color rgb="FFC00000"/>
        </right>
        <top/>
        <bottom/>
      </border>
    </dxf>
    <dxf>
      <fill>
        <patternFill>
          <bgColor theme="7" tint="0.39994506668294322"/>
        </patternFill>
      </fill>
      <border>
        <left style="thin">
          <color theme="7" tint="0.39994506668294322"/>
        </left>
        <right style="thin">
          <color theme="7" tint="0.39994506668294322"/>
        </right>
        <top style="thin">
          <color theme="7" tint="0.39994506668294322"/>
        </top>
        <bottom style="thin">
          <color theme="7" tint="0.3999450666829432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F3:N33" totalsRowShown="0" headerRowDxfId="13" dataDxfId="11" headerRowBorderDxfId="12" tableBorderDxfId="10" totalsRowBorderDxfId="9">
  <autoFilter ref="F3:N3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Date" dataDxfId="8"/>
    <tableColumn id="2" name="Day" dataDxfId="7">
      <calculatedColumnFormula>TEXT(F4, "ddd")</calculatedColumnFormula>
    </tableColumn>
    <tableColumn id="3" name="Check In" dataDxfId="6"/>
    <tableColumn id="4" name="Break In" dataDxfId="5"/>
    <tableColumn id="5" name="Break Out" dataDxfId="4"/>
    <tableColumn id="6" name="Check Out" dataDxfId="3"/>
    <tableColumn id="7" name="Working Hours" dataDxfId="2">
      <calculatedColumnFormula>(K4-H4)-(J4-I4)</calculatedColumnFormula>
    </tableColumn>
    <tableColumn id="8" name="Overtime" dataDxfId="1">
      <calculatedColumnFormula>IF(K4&gt;TIME(17,0,0),K4-TIME(17,0,0),TIME(0,0,0))</calculatedColumnFormula>
    </tableColumn>
    <tableColumn id="9" name="Overtime Payment" dataDxfId="0">
      <calculatedColumnFormula>($D$6/26/8)*24*M4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33"/>
  <sheetViews>
    <sheetView tabSelected="1" workbookViewId="0">
      <selection activeCell="D3" sqref="D3"/>
    </sheetView>
  </sheetViews>
  <sheetFormatPr defaultRowHeight="15" x14ac:dyDescent="0.25"/>
  <cols>
    <col min="1" max="1" width="5.125" style="1" customWidth="1"/>
    <col min="2" max="2" width="16.875" style="1" bestFit="1" customWidth="1"/>
    <col min="3" max="3" width="1.875" style="1" customWidth="1"/>
    <col min="4" max="4" width="19.625" style="1" bestFit="1" customWidth="1"/>
    <col min="5" max="5" width="9" style="1"/>
    <col min="6" max="6" width="10.125" style="1" bestFit="1" customWidth="1"/>
    <col min="7" max="7" width="9" style="1"/>
    <col min="8" max="8" width="10.25" style="1" customWidth="1"/>
    <col min="9" max="9" width="9.625" style="1" customWidth="1"/>
    <col min="10" max="10" width="11.125" style="1" customWidth="1"/>
    <col min="11" max="11" width="11.75" style="1" customWidth="1"/>
    <col min="12" max="12" width="15.75" style="1" customWidth="1"/>
    <col min="13" max="13" width="10.5" style="1" customWidth="1"/>
    <col min="14" max="14" width="18.25" style="1" customWidth="1"/>
    <col min="15" max="16384" width="9" style="1"/>
  </cols>
  <sheetData>
    <row r="3" spans="2:14" x14ac:dyDescent="0.25">
      <c r="B3" s="15" t="s">
        <v>14</v>
      </c>
      <c r="C3" s="15"/>
      <c r="D3" s="17">
        <v>324</v>
      </c>
      <c r="F3" s="8" t="s">
        <v>11</v>
      </c>
      <c r="G3" s="9" t="s">
        <v>12</v>
      </c>
      <c r="H3" s="9" t="s">
        <v>2</v>
      </c>
      <c r="I3" s="9" t="s">
        <v>3</v>
      </c>
      <c r="J3" s="9" t="s">
        <v>4</v>
      </c>
      <c r="K3" s="9" t="s">
        <v>5</v>
      </c>
      <c r="L3" s="9" t="s">
        <v>6</v>
      </c>
      <c r="M3" s="9" t="s">
        <v>7</v>
      </c>
      <c r="N3" s="10" t="s">
        <v>8</v>
      </c>
    </row>
    <row r="4" spans="2:14" x14ac:dyDescent="0.25">
      <c r="B4" s="15" t="s">
        <v>15</v>
      </c>
      <c r="C4" s="15"/>
      <c r="D4" s="18" t="s">
        <v>9</v>
      </c>
      <c r="F4" s="11">
        <v>46113</v>
      </c>
      <c r="G4" s="2" t="str">
        <f>TEXT(F4, "ddd")</f>
        <v>Wed</v>
      </c>
      <c r="H4" s="3">
        <v>0.375</v>
      </c>
      <c r="I4" s="3">
        <v>0.54166666666666663</v>
      </c>
      <c r="J4" s="3">
        <v>0.58333333333333337</v>
      </c>
      <c r="K4" s="3">
        <v>0.73958333333333337</v>
      </c>
      <c r="L4" s="4">
        <f>(K4-H4)-(J4-I4)</f>
        <v>0.32291666666666663</v>
      </c>
      <c r="M4" s="4">
        <f>IF(K4&gt;TIME(17,0,0),K4-TIME(17,0,0),TIME(0,0,0))</f>
        <v>3.125E-2</v>
      </c>
      <c r="N4" s="12">
        <f>($D$6/26/8)*24*M4</f>
        <v>306.49038461538458</v>
      </c>
    </row>
    <row r="5" spans="2:14" x14ac:dyDescent="0.25">
      <c r="B5" s="15" t="s">
        <v>0</v>
      </c>
      <c r="C5" s="15"/>
      <c r="D5" s="18" t="s">
        <v>10</v>
      </c>
      <c r="F5" s="11">
        <v>46114</v>
      </c>
      <c r="G5" s="2" t="str">
        <f t="shared" ref="G5:G33" si="0">TEXT(F5, "ddd")</f>
        <v>Thu</v>
      </c>
      <c r="H5" s="3">
        <v>0.375</v>
      </c>
      <c r="I5" s="3">
        <v>0.54166666666666663</v>
      </c>
      <c r="J5" s="3">
        <v>0.58333333333333337</v>
      </c>
      <c r="K5" s="3">
        <v>0.70833333333333337</v>
      </c>
      <c r="L5" s="4">
        <f t="shared" ref="L5:L33" si="1">(K5-H5)-(J5-I5)</f>
        <v>0.29166666666666663</v>
      </c>
      <c r="M5" s="4">
        <f t="shared" ref="M5:M33" si="2">IF(K5&gt;TIME(17,0,0),K5-TIME(17,0,0),TIME(0,0,0))</f>
        <v>0</v>
      </c>
      <c r="N5" s="12">
        <f t="shared" ref="N5:N33" si="3">($D$6/26/8)*24*M5</f>
        <v>0</v>
      </c>
    </row>
    <row r="6" spans="2:14" x14ac:dyDescent="0.25">
      <c r="B6" s="15" t="s">
        <v>1</v>
      </c>
      <c r="C6" s="15"/>
      <c r="D6" s="19">
        <v>85000</v>
      </c>
      <c r="F6" s="11">
        <v>46115</v>
      </c>
      <c r="G6" s="2" t="str">
        <f t="shared" si="0"/>
        <v>Fri</v>
      </c>
      <c r="H6" s="3">
        <v>0.375</v>
      </c>
      <c r="I6" s="3">
        <v>0.54166666666666696</v>
      </c>
      <c r="J6" s="3">
        <v>0.58333333333333304</v>
      </c>
      <c r="K6" s="3">
        <v>0.75</v>
      </c>
      <c r="L6" s="4">
        <f t="shared" si="1"/>
        <v>0.33333333333333393</v>
      </c>
      <c r="M6" s="4">
        <f t="shared" si="2"/>
        <v>4.166666666666663E-2</v>
      </c>
      <c r="N6" s="12">
        <f t="shared" si="3"/>
        <v>408.65384615384573</v>
      </c>
    </row>
    <row r="7" spans="2:14" x14ac:dyDescent="0.25">
      <c r="F7" s="11">
        <v>46116</v>
      </c>
      <c r="G7" s="2" t="str">
        <f t="shared" si="0"/>
        <v>Sat</v>
      </c>
      <c r="H7" s="3">
        <v>0.375</v>
      </c>
      <c r="I7" s="3">
        <v>0.54166666666666696</v>
      </c>
      <c r="J7" s="3">
        <v>0.58333333333333304</v>
      </c>
      <c r="K7" s="3">
        <v>0.70833333333333304</v>
      </c>
      <c r="L7" s="4">
        <f t="shared" si="1"/>
        <v>0.29166666666666696</v>
      </c>
      <c r="M7" s="4">
        <f t="shared" si="2"/>
        <v>0</v>
      </c>
      <c r="N7" s="12">
        <f t="shared" si="3"/>
        <v>0</v>
      </c>
    </row>
    <row r="8" spans="2:14" x14ac:dyDescent="0.25">
      <c r="B8" s="15" t="s">
        <v>16</v>
      </c>
      <c r="D8" s="20">
        <f>SUM(Table2[Working Hours])</f>
        <v>8.2569444444444553</v>
      </c>
      <c r="F8" s="11">
        <v>46117</v>
      </c>
      <c r="G8" s="2" t="str">
        <f t="shared" si="0"/>
        <v>Sun</v>
      </c>
      <c r="H8" s="3"/>
      <c r="I8" s="3"/>
      <c r="J8" s="3"/>
      <c r="K8" s="3"/>
      <c r="L8" s="4"/>
      <c r="M8" s="4"/>
      <c r="N8" s="12"/>
    </row>
    <row r="9" spans="2:14" x14ac:dyDescent="0.25">
      <c r="B9" s="15" t="s">
        <v>17</v>
      </c>
      <c r="D9" s="21">
        <f>SUM(Table2[Overtime])</f>
        <v>0.67361111111111061</v>
      </c>
      <c r="F9" s="11">
        <v>46118</v>
      </c>
      <c r="G9" s="2" t="str">
        <f t="shared" si="0"/>
        <v>Mon</v>
      </c>
      <c r="H9" s="3">
        <v>0.375</v>
      </c>
      <c r="I9" s="3">
        <v>0.54166666666666696</v>
      </c>
      <c r="J9" s="3">
        <v>0.58333333333333304</v>
      </c>
      <c r="K9" s="3">
        <v>0.70833333333333304</v>
      </c>
      <c r="L9" s="4">
        <f t="shared" si="1"/>
        <v>0.29166666666666696</v>
      </c>
      <c r="M9" s="4">
        <f t="shared" si="2"/>
        <v>0</v>
      </c>
      <c r="N9" s="12">
        <f t="shared" si="3"/>
        <v>0</v>
      </c>
    </row>
    <row r="10" spans="2:14" x14ac:dyDescent="0.25">
      <c r="B10" s="15" t="s">
        <v>18</v>
      </c>
      <c r="D10" s="16">
        <f>SUM(Table2[Overtime Payment])</f>
        <v>6606.5705128205072</v>
      </c>
      <c r="F10" s="11">
        <v>46119</v>
      </c>
      <c r="G10" s="2" t="str">
        <f t="shared" si="0"/>
        <v>Tue</v>
      </c>
      <c r="H10" s="3">
        <v>0.375</v>
      </c>
      <c r="I10" s="3">
        <v>0.54166666666666696</v>
      </c>
      <c r="J10" s="3">
        <v>0.58333333333333304</v>
      </c>
      <c r="K10" s="3">
        <v>0.77430555555555547</v>
      </c>
      <c r="L10" s="4">
        <f t="shared" si="1"/>
        <v>0.35763888888888939</v>
      </c>
      <c r="M10" s="4">
        <f t="shared" si="2"/>
        <v>6.5972222222222099E-2</v>
      </c>
      <c r="N10" s="12">
        <f t="shared" si="3"/>
        <v>647.0352564102551</v>
      </c>
    </row>
    <row r="11" spans="2:14" x14ac:dyDescent="0.25">
      <c r="B11" s="15" t="s">
        <v>13</v>
      </c>
      <c r="D11" s="16">
        <f>D6+D10</f>
        <v>91606.570512820501</v>
      </c>
      <c r="F11" s="11">
        <v>46120</v>
      </c>
      <c r="G11" s="2" t="str">
        <f t="shared" si="0"/>
        <v>Wed</v>
      </c>
      <c r="H11" s="3">
        <v>0.375</v>
      </c>
      <c r="I11" s="3">
        <v>0.54166666666666696</v>
      </c>
      <c r="J11" s="3">
        <v>0.58333333333333304</v>
      </c>
      <c r="K11" s="3">
        <v>0.70833333333333304</v>
      </c>
      <c r="L11" s="4">
        <f t="shared" si="1"/>
        <v>0.29166666666666696</v>
      </c>
      <c r="M11" s="4">
        <f t="shared" si="2"/>
        <v>0</v>
      </c>
      <c r="N11" s="12">
        <f t="shared" si="3"/>
        <v>0</v>
      </c>
    </row>
    <row r="12" spans="2:14" x14ac:dyDescent="0.25">
      <c r="F12" s="11">
        <v>46121</v>
      </c>
      <c r="G12" s="2" t="str">
        <f t="shared" si="0"/>
        <v>Thu</v>
      </c>
      <c r="H12" s="3">
        <v>0.375</v>
      </c>
      <c r="I12" s="3">
        <v>0.54166666666666696</v>
      </c>
      <c r="J12" s="3">
        <v>0.58333333333333304</v>
      </c>
      <c r="K12" s="3">
        <v>0.83333333333333337</v>
      </c>
      <c r="L12" s="4">
        <f t="shared" si="1"/>
        <v>0.4166666666666673</v>
      </c>
      <c r="M12" s="4">
        <f t="shared" si="2"/>
        <v>0.125</v>
      </c>
      <c r="N12" s="12">
        <f t="shared" si="3"/>
        <v>1225.9615384615383</v>
      </c>
    </row>
    <row r="13" spans="2:14" x14ac:dyDescent="0.25">
      <c r="F13" s="11">
        <v>46122</v>
      </c>
      <c r="G13" s="2" t="str">
        <f t="shared" si="0"/>
        <v>Fri</v>
      </c>
      <c r="H13" s="3">
        <v>0.375</v>
      </c>
      <c r="I13" s="3">
        <v>0.54166666666666696</v>
      </c>
      <c r="J13" s="3">
        <v>0.58333333333333304</v>
      </c>
      <c r="K13" s="3">
        <v>0.70833333333333304</v>
      </c>
      <c r="L13" s="4">
        <f t="shared" si="1"/>
        <v>0.29166666666666696</v>
      </c>
      <c r="M13" s="4">
        <f t="shared" si="2"/>
        <v>0</v>
      </c>
      <c r="N13" s="12">
        <f t="shared" si="3"/>
        <v>0</v>
      </c>
    </row>
    <row r="14" spans="2:14" x14ac:dyDescent="0.25">
      <c r="F14" s="11">
        <v>46123</v>
      </c>
      <c r="G14" s="2" t="str">
        <f t="shared" si="0"/>
        <v>Sat</v>
      </c>
      <c r="H14" s="3">
        <v>0.375</v>
      </c>
      <c r="I14" s="3">
        <v>0.54166666666666696</v>
      </c>
      <c r="J14" s="3">
        <v>0.58333333333333304</v>
      </c>
      <c r="K14" s="3">
        <v>0.70833333333333304</v>
      </c>
      <c r="L14" s="4">
        <f t="shared" si="1"/>
        <v>0.29166666666666696</v>
      </c>
      <c r="M14" s="4">
        <f t="shared" si="2"/>
        <v>0</v>
      </c>
      <c r="N14" s="12">
        <f t="shared" si="3"/>
        <v>0</v>
      </c>
    </row>
    <row r="15" spans="2:14" x14ac:dyDescent="0.25">
      <c r="F15" s="11">
        <v>46124</v>
      </c>
      <c r="G15" s="2" t="str">
        <f t="shared" si="0"/>
        <v>Sun</v>
      </c>
      <c r="H15" s="3"/>
      <c r="I15" s="3"/>
      <c r="J15" s="3"/>
      <c r="K15" s="3"/>
      <c r="L15" s="4"/>
      <c r="M15" s="4"/>
      <c r="N15" s="12"/>
    </row>
    <row r="16" spans="2:14" x14ac:dyDescent="0.25">
      <c r="F16" s="11">
        <v>46125</v>
      </c>
      <c r="G16" s="2" t="str">
        <f t="shared" si="0"/>
        <v>Mon</v>
      </c>
      <c r="H16" s="3">
        <v>0.375</v>
      </c>
      <c r="I16" s="3">
        <v>0.54166666666666696</v>
      </c>
      <c r="J16" s="3">
        <v>0.58333333333333304</v>
      </c>
      <c r="K16" s="3">
        <v>0.82638888888888884</v>
      </c>
      <c r="L16" s="4">
        <f t="shared" si="1"/>
        <v>0.40972222222222276</v>
      </c>
      <c r="M16" s="4">
        <f t="shared" si="2"/>
        <v>0.11805555555555547</v>
      </c>
      <c r="N16" s="12">
        <f t="shared" si="3"/>
        <v>1157.8525641025631</v>
      </c>
    </row>
    <row r="17" spans="6:14" x14ac:dyDescent="0.25">
      <c r="F17" s="11">
        <v>46126</v>
      </c>
      <c r="G17" s="2" t="str">
        <f t="shared" si="0"/>
        <v>Tue</v>
      </c>
      <c r="H17" s="3">
        <v>0.375</v>
      </c>
      <c r="I17" s="3">
        <v>0.54166666666666696</v>
      </c>
      <c r="J17" s="3">
        <v>0.58333333333333304</v>
      </c>
      <c r="K17" s="3">
        <v>0.70833333333333304</v>
      </c>
      <c r="L17" s="4">
        <f t="shared" si="1"/>
        <v>0.29166666666666696</v>
      </c>
      <c r="M17" s="4">
        <f t="shared" si="2"/>
        <v>0</v>
      </c>
      <c r="N17" s="12">
        <f t="shared" si="3"/>
        <v>0</v>
      </c>
    </row>
    <row r="18" spans="6:14" x14ac:dyDescent="0.25">
      <c r="F18" s="11">
        <v>46127</v>
      </c>
      <c r="G18" s="2" t="str">
        <f t="shared" si="0"/>
        <v>Wed</v>
      </c>
      <c r="H18" s="3">
        <v>0.375</v>
      </c>
      <c r="I18" s="3">
        <v>0.54166666666666696</v>
      </c>
      <c r="J18" s="3">
        <v>0.58333333333333304</v>
      </c>
      <c r="K18" s="3">
        <v>0.70833333333333304</v>
      </c>
      <c r="L18" s="4">
        <f t="shared" si="1"/>
        <v>0.29166666666666696</v>
      </c>
      <c r="M18" s="4">
        <f t="shared" si="2"/>
        <v>0</v>
      </c>
      <c r="N18" s="12">
        <f t="shared" si="3"/>
        <v>0</v>
      </c>
    </row>
    <row r="19" spans="6:14" x14ac:dyDescent="0.25">
      <c r="F19" s="11">
        <v>46128</v>
      </c>
      <c r="G19" s="2" t="str">
        <f t="shared" si="0"/>
        <v>Thu</v>
      </c>
      <c r="H19" s="3">
        <v>0.375</v>
      </c>
      <c r="I19" s="3">
        <v>0.54166666666666696</v>
      </c>
      <c r="J19" s="3">
        <v>0.58333333333333304</v>
      </c>
      <c r="K19" s="3">
        <v>0.72916666666666663</v>
      </c>
      <c r="L19" s="4">
        <f t="shared" si="1"/>
        <v>0.31250000000000056</v>
      </c>
      <c r="M19" s="4">
        <f t="shared" si="2"/>
        <v>2.0833333333333259E-2</v>
      </c>
      <c r="N19" s="12">
        <f t="shared" si="3"/>
        <v>204.32692307692233</v>
      </c>
    </row>
    <row r="20" spans="6:14" x14ac:dyDescent="0.25">
      <c r="F20" s="11">
        <v>46129</v>
      </c>
      <c r="G20" s="2" t="str">
        <f t="shared" si="0"/>
        <v>Fri</v>
      </c>
      <c r="H20" s="3">
        <v>0.375</v>
      </c>
      <c r="I20" s="3">
        <v>0.54166666666666696</v>
      </c>
      <c r="J20" s="3">
        <v>0.58333333333333304</v>
      </c>
      <c r="K20" s="3">
        <v>0.70833333333333304</v>
      </c>
      <c r="L20" s="4">
        <f t="shared" si="1"/>
        <v>0.29166666666666696</v>
      </c>
      <c r="M20" s="4">
        <f t="shared" si="2"/>
        <v>0</v>
      </c>
      <c r="N20" s="12">
        <f t="shared" si="3"/>
        <v>0</v>
      </c>
    </row>
    <row r="21" spans="6:14" x14ac:dyDescent="0.25">
      <c r="F21" s="11">
        <v>46130</v>
      </c>
      <c r="G21" s="2" t="str">
        <f t="shared" si="0"/>
        <v>Sat</v>
      </c>
      <c r="H21" s="3">
        <v>0.375</v>
      </c>
      <c r="I21" s="3">
        <v>0.54166666666666696</v>
      </c>
      <c r="J21" s="3">
        <v>0.58333333333333304</v>
      </c>
      <c r="K21" s="3">
        <v>0.70833333333333304</v>
      </c>
      <c r="L21" s="4">
        <f t="shared" si="1"/>
        <v>0.29166666666666696</v>
      </c>
      <c r="M21" s="4">
        <f t="shared" si="2"/>
        <v>0</v>
      </c>
      <c r="N21" s="12">
        <f t="shared" si="3"/>
        <v>0</v>
      </c>
    </row>
    <row r="22" spans="6:14" x14ac:dyDescent="0.25">
      <c r="F22" s="11">
        <v>46131</v>
      </c>
      <c r="G22" s="2" t="str">
        <f t="shared" si="0"/>
        <v>Sun</v>
      </c>
      <c r="H22" s="3"/>
      <c r="I22" s="3"/>
      <c r="J22" s="3"/>
      <c r="K22" s="3"/>
      <c r="L22" s="4"/>
      <c r="M22" s="4"/>
      <c r="N22" s="12"/>
    </row>
    <row r="23" spans="6:14" x14ac:dyDescent="0.25">
      <c r="F23" s="11">
        <v>46132</v>
      </c>
      <c r="G23" s="2" t="str">
        <f t="shared" si="0"/>
        <v>Mon</v>
      </c>
      <c r="H23" s="3">
        <v>0.375</v>
      </c>
      <c r="I23" s="3">
        <v>0.54166666666666696</v>
      </c>
      <c r="J23" s="3">
        <v>0.58333333333333304</v>
      </c>
      <c r="K23" s="3">
        <v>0.70833333333333304</v>
      </c>
      <c r="L23" s="4">
        <f t="shared" si="1"/>
        <v>0.29166666666666696</v>
      </c>
      <c r="M23" s="4">
        <f t="shared" si="2"/>
        <v>0</v>
      </c>
      <c r="N23" s="12">
        <f t="shared" si="3"/>
        <v>0</v>
      </c>
    </row>
    <row r="24" spans="6:14" x14ac:dyDescent="0.25">
      <c r="F24" s="11">
        <v>46133</v>
      </c>
      <c r="G24" s="2" t="str">
        <f t="shared" si="0"/>
        <v>Tue</v>
      </c>
      <c r="H24" s="3">
        <v>0.375</v>
      </c>
      <c r="I24" s="3">
        <v>0.54166666666666696</v>
      </c>
      <c r="J24" s="3">
        <v>0.58333333333333304</v>
      </c>
      <c r="K24" s="3">
        <v>0.70833333333333304</v>
      </c>
      <c r="L24" s="4">
        <f t="shared" si="1"/>
        <v>0.29166666666666696</v>
      </c>
      <c r="M24" s="4">
        <f t="shared" si="2"/>
        <v>0</v>
      </c>
      <c r="N24" s="12">
        <f t="shared" si="3"/>
        <v>0</v>
      </c>
    </row>
    <row r="25" spans="6:14" x14ac:dyDescent="0.25">
      <c r="F25" s="11">
        <v>46134</v>
      </c>
      <c r="G25" s="2" t="str">
        <f t="shared" si="0"/>
        <v>Wed</v>
      </c>
      <c r="H25" s="3">
        <v>0.375</v>
      </c>
      <c r="I25" s="3">
        <v>0.54166666666666696</v>
      </c>
      <c r="J25" s="3">
        <v>0.58333333333333304</v>
      </c>
      <c r="K25" s="3">
        <v>0.8125</v>
      </c>
      <c r="L25" s="4">
        <f t="shared" si="1"/>
        <v>0.39583333333333393</v>
      </c>
      <c r="M25" s="4">
        <f t="shared" si="2"/>
        <v>0.10416666666666663</v>
      </c>
      <c r="N25" s="12">
        <f t="shared" si="3"/>
        <v>1021.6346153846149</v>
      </c>
    </row>
    <row r="26" spans="6:14" x14ac:dyDescent="0.25">
      <c r="F26" s="11">
        <v>46135</v>
      </c>
      <c r="G26" s="2" t="str">
        <f t="shared" si="0"/>
        <v>Thu</v>
      </c>
      <c r="H26" s="3">
        <v>0.375</v>
      </c>
      <c r="I26" s="3">
        <v>0.54166666666666696</v>
      </c>
      <c r="J26" s="3">
        <v>0.58333333333333304</v>
      </c>
      <c r="K26" s="3">
        <v>0.70833333333333304</v>
      </c>
      <c r="L26" s="4">
        <f t="shared" si="1"/>
        <v>0.29166666666666696</v>
      </c>
      <c r="M26" s="4">
        <f t="shared" si="2"/>
        <v>0</v>
      </c>
      <c r="N26" s="12">
        <f t="shared" si="3"/>
        <v>0</v>
      </c>
    </row>
    <row r="27" spans="6:14" x14ac:dyDescent="0.25">
      <c r="F27" s="11">
        <v>46136</v>
      </c>
      <c r="G27" s="2" t="str">
        <f t="shared" si="0"/>
        <v>Fri</v>
      </c>
      <c r="H27" s="3">
        <v>0.375</v>
      </c>
      <c r="I27" s="3">
        <v>0.54166666666666696</v>
      </c>
      <c r="J27" s="3">
        <v>0.58333333333333304</v>
      </c>
      <c r="K27" s="3">
        <v>0.70833333333333304</v>
      </c>
      <c r="L27" s="4">
        <f t="shared" si="1"/>
        <v>0.29166666666666696</v>
      </c>
      <c r="M27" s="4">
        <f t="shared" si="2"/>
        <v>0</v>
      </c>
      <c r="N27" s="12">
        <f t="shared" si="3"/>
        <v>0</v>
      </c>
    </row>
    <row r="28" spans="6:14" x14ac:dyDescent="0.25">
      <c r="F28" s="11">
        <v>46137</v>
      </c>
      <c r="G28" s="2" t="str">
        <f t="shared" si="0"/>
        <v>Sat</v>
      </c>
      <c r="H28" s="3">
        <v>0.375</v>
      </c>
      <c r="I28" s="3">
        <v>0.54166666666666696</v>
      </c>
      <c r="J28" s="3">
        <v>0.58333333333333304</v>
      </c>
      <c r="K28" s="3">
        <v>0.82291666666666663</v>
      </c>
      <c r="L28" s="4">
        <f t="shared" si="1"/>
        <v>0.40625000000000056</v>
      </c>
      <c r="M28" s="4">
        <f t="shared" si="2"/>
        <v>0.11458333333333326</v>
      </c>
      <c r="N28" s="12">
        <f t="shared" si="3"/>
        <v>1123.798076923076</v>
      </c>
    </row>
    <row r="29" spans="6:14" x14ac:dyDescent="0.25">
      <c r="F29" s="11">
        <v>46138</v>
      </c>
      <c r="G29" s="2" t="str">
        <f t="shared" si="0"/>
        <v>Sun</v>
      </c>
      <c r="H29" s="3"/>
      <c r="I29" s="3"/>
      <c r="J29" s="3"/>
      <c r="K29" s="3"/>
      <c r="L29" s="4"/>
      <c r="M29" s="4"/>
      <c r="N29" s="12"/>
    </row>
    <row r="30" spans="6:14" x14ac:dyDescent="0.25">
      <c r="F30" s="11">
        <v>46139</v>
      </c>
      <c r="G30" s="2" t="str">
        <f t="shared" si="0"/>
        <v>Mon</v>
      </c>
      <c r="H30" s="3">
        <v>0.375</v>
      </c>
      <c r="I30" s="3">
        <v>0.54166666666666696</v>
      </c>
      <c r="J30" s="3">
        <v>0.58333333333333304</v>
      </c>
      <c r="K30" s="3">
        <v>0.70833333333333304</v>
      </c>
      <c r="L30" s="4">
        <f t="shared" si="1"/>
        <v>0.29166666666666696</v>
      </c>
      <c r="M30" s="4">
        <f t="shared" si="2"/>
        <v>0</v>
      </c>
      <c r="N30" s="12">
        <f t="shared" si="3"/>
        <v>0</v>
      </c>
    </row>
    <row r="31" spans="6:14" x14ac:dyDescent="0.25">
      <c r="F31" s="11">
        <v>46140</v>
      </c>
      <c r="G31" s="2" t="str">
        <f t="shared" si="0"/>
        <v>Tue</v>
      </c>
      <c r="H31" s="3">
        <v>0.375</v>
      </c>
      <c r="I31" s="3">
        <v>0.54166666666666696</v>
      </c>
      <c r="J31" s="3">
        <v>0.58333333333333304</v>
      </c>
      <c r="K31" s="3">
        <v>0.70833333333333304</v>
      </c>
      <c r="L31" s="4">
        <f t="shared" si="1"/>
        <v>0.29166666666666696</v>
      </c>
      <c r="M31" s="4">
        <f t="shared" si="2"/>
        <v>0</v>
      </c>
      <c r="N31" s="12">
        <f t="shared" si="3"/>
        <v>0</v>
      </c>
    </row>
    <row r="32" spans="6:14" x14ac:dyDescent="0.25">
      <c r="F32" s="11">
        <v>46141</v>
      </c>
      <c r="G32" s="2" t="str">
        <f t="shared" si="0"/>
        <v>Wed</v>
      </c>
      <c r="H32" s="3">
        <v>0.375</v>
      </c>
      <c r="I32" s="3">
        <v>0.54166666666666696</v>
      </c>
      <c r="J32" s="3">
        <v>0.58333333333333304</v>
      </c>
      <c r="K32" s="3">
        <v>0.76041666666666663</v>
      </c>
      <c r="L32" s="4">
        <f t="shared" si="1"/>
        <v>0.34375000000000056</v>
      </c>
      <c r="M32" s="4">
        <f t="shared" si="2"/>
        <v>5.2083333333333259E-2</v>
      </c>
      <c r="N32" s="12">
        <f t="shared" si="3"/>
        <v>510.81730769230694</v>
      </c>
    </row>
    <row r="33" spans="6:14" x14ac:dyDescent="0.25">
      <c r="F33" s="13">
        <v>46142</v>
      </c>
      <c r="G33" s="5" t="str">
        <f t="shared" si="0"/>
        <v>Thu</v>
      </c>
      <c r="H33" s="6">
        <v>0.375</v>
      </c>
      <c r="I33" s="6">
        <v>0.54166666666666696</v>
      </c>
      <c r="J33" s="6">
        <v>0.58333333333333304</v>
      </c>
      <c r="K33" s="6">
        <v>0.70833333333333304</v>
      </c>
      <c r="L33" s="7">
        <f t="shared" si="1"/>
        <v>0.29166666666666696</v>
      </c>
      <c r="M33" s="7">
        <f t="shared" si="2"/>
        <v>0</v>
      </c>
      <c r="N33" s="14">
        <f t="shared" si="3"/>
        <v>0</v>
      </c>
    </row>
  </sheetData>
  <conditionalFormatting sqref="G4:N33">
    <cfRule type="expression" dxfId="14" priority="1">
      <formula>$G4="Sun"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Time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saqib Rafeeq</dc:creator>
  <cp:lastModifiedBy>Sam Ssh</cp:lastModifiedBy>
  <dcterms:created xsi:type="dcterms:W3CDTF">2026-04-28T17:54:09Z</dcterms:created>
  <dcterms:modified xsi:type="dcterms:W3CDTF">2026-06-09T18:08:55Z</dcterms:modified>
</cp:coreProperties>
</file>