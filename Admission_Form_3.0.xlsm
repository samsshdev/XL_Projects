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uctivity\Spreadsheets\"/>
    </mc:Choice>
  </mc:AlternateContent>
  <bookViews>
    <workbookView xWindow="0" yWindow="0" windowWidth="20490" windowHeight="7200"/>
  </bookViews>
  <sheets>
    <sheet name="Admission Form" sheetId="1" r:id="rId1"/>
    <sheet name="11th Database" sheetId="2" r:id="rId2"/>
    <sheet name="12th Database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2" i="1" l="1"/>
  <c r="O18" i="1"/>
  <c r="F64" i="1" l="1"/>
  <c r="F63" i="1"/>
  <c r="F62" i="1"/>
  <c r="F61" i="1"/>
  <c r="F60" i="1"/>
  <c r="F59" i="1"/>
  <c r="F56" i="1"/>
  <c r="F58" i="1"/>
  <c r="F57" i="1"/>
  <c r="F55" i="1"/>
  <c r="F54" i="1"/>
  <c r="F53" i="1"/>
</calcChain>
</file>

<file path=xl/sharedStrings.xml><?xml version="1.0" encoding="utf-8"?>
<sst xmlns="http://schemas.openxmlformats.org/spreadsheetml/2006/main" count="89" uniqueCount="41">
  <si>
    <t>Admission Portal, Intermediate 2026</t>
  </si>
  <si>
    <t>First Year</t>
  </si>
  <si>
    <t>Admission No</t>
  </si>
  <si>
    <t>Roll No</t>
  </si>
  <si>
    <t>Full Name</t>
  </si>
  <si>
    <t>Father's Name</t>
  </si>
  <si>
    <t>CNIC</t>
  </si>
  <si>
    <t>Contact</t>
  </si>
  <si>
    <t>Date of Birth</t>
  </si>
  <si>
    <t>Last Degree</t>
  </si>
  <si>
    <t>Percentile Score</t>
  </si>
  <si>
    <t>Group of Studies</t>
  </si>
  <si>
    <t>Address</t>
  </si>
  <si>
    <t>Gender</t>
  </si>
  <si>
    <t>Form Data Entry</t>
  </si>
  <si>
    <t>Male</t>
  </si>
  <si>
    <t>Alipur</t>
  </si>
  <si>
    <t>City</t>
  </si>
  <si>
    <t>Intermediate in CS</t>
  </si>
  <si>
    <t>I.COM</t>
  </si>
  <si>
    <t>Pre-Medical</t>
  </si>
  <si>
    <t>Pre-Engineering</t>
  </si>
  <si>
    <t>Matriculation</t>
  </si>
  <si>
    <t>Multan</t>
  </si>
  <si>
    <t>Muhammad Aafaq</t>
  </si>
  <si>
    <t>Shahbaz Ali</t>
  </si>
  <si>
    <t>Muhammad Bilal</t>
  </si>
  <si>
    <t>Abdul Hameed</t>
  </si>
  <si>
    <t>Lahore</t>
  </si>
  <si>
    <t>Muhammad Shahbaz</t>
  </si>
  <si>
    <t>Muhammad Iqbal Khan</t>
  </si>
  <si>
    <t>Muhammad Tariq</t>
  </si>
  <si>
    <t>Muhammad Ahmad</t>
  </si>
  <si>
    <t>Check Notice!</t>
  </si>
  <si>
    <t>Back to Form</t>
  </si>
  <si>
    <t>Muhammad Farman</t>
  </si>
  <si>
    <t>Muhammad Hussain</t>
  </si>
  <si>
    <t>Muhammad Javed</t>
  </si>
  <si>
    <t>Ilyas Majeed</t>
  </si>
  <si>
    <t>Jatoi</t>
  </si>
  <si>
    <t>Second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</si>
</sst>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\-0000000\-0"/>
    <numFmt numFmtId="165" formatCode="\+\9\2\ 000\ 0000000"/>
  </numFmts>
  <fonts count="6" x14ac:knownFonts="1">
    <font>
      <sz val="11"/>
      <color theme="1"/>
      <name val="Aptos"/>
      <family val="2"/>
    </font>
    <font>
      <b/>
      <sz val="11"/>
      <color theme="1"/>
      <name val="Aptos"/>
      <family val="2"/>
    </font>
    <font>
      <b/>
      <sz val="11"/>
      <color rgb="FFC00000"/>
      <name val="Aptos"/>
      <family val="2"/>
    </font>
    <font>
      <sz val="11"/>
      <color theme="1"/>
      <name val="Aptos"/>
      <family val="2"/>
    </font>
    <font>
      <b/>
      <sz val="11"/>
      <color theme="0"/>
      <name val="Aptos"/>
      <family val="2"/>
    </font>
    <font>
      <u/>
      <sz val="11"/>
      <color theme="10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1" fillId="2" borderId="0" xfId="0" applyFont="1" applyFill="1" applyBorder="1" applyAlignment="1">
      <alignment vertical="center"/>
    </xf>
    <xf numFmtId="0" fontId="2" fillId="2" borderId="0" xfId="0" applyFont="1" applyFill="1" applyAlignment="1">
      <alignment horizontal="left"/>
    </xf>
    <xf numFmtId="0" fontId="0" fillId="2" borderId="0" xfId="0" applyFill="1" applyBorder="1" applyAlignment="1">
      <alignment horizontal="center"/>
    </xf>
    <xf numFmtId="0" fontId="4" fillId="3" borderId="0" xfId="0" applyFont="1" applyFill="1"/>
    <xf numFmtId="164" fontId="4" fillId="3" borderId="0" xfId="0" applyNumberFormat="1" applyFont="1" applyFill="1"/>
    <xf numFmtId="164" fontId="0" fillId="0" borderId="0" xfId="0" applyNumberFormat="1"/>
    <xf numFmtId="165" fontId="4" fillId="3" borderId="0" xfId="0" applyNumberFormat="1" applyFont="1" applyFill="1"/>
    <xf numFmtId="165" fontId="0" fillId="0" borderId="0" xfId="0" applyNumberFormat="1"/>
    <xf numFmtId="14" fontId="4" fillId="3" borderId="0" xfId="0" applyNumberFormat="1" applyFont="1" applyFill="1"/>
    <xf numFmtId="14" fontId="0" fillId="0" borderId="0" xfId="0" applyNumberFormat="1"/>
    <xf numFmtId="9" fontId="4" fillId="3" borderId="0" xfId="1" applyFont="1" applyFill="1"/>
    <xf numFmtId="9" fontId="0" fillId="0" borderId="0" xfId="1" applyFont="1"/>
    <xf numFmtId="0" fontId="0" fillId="2" borderId="0" xfId="0" applyFill="1" applyAlignment="1"/>
    <xf numFmtId="0" fontId="5" fillId="2" borderId="0" xfId="2" applyFill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"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114300</xdr:rowOff>
    </xdr:from>
    <xdr:to>
      <xdr:col>17</xdr:col>
      <xdr:colOff>0</xdr:colOff>
      <xdr:row>3</xdr:row>
      <xdr:rowOff>76200</xdr:rowOff>
    </xdr:to>
    <xdr:sp macro="" textlink="">
      <xdr:nvSpPr>
        <xdr:cNvPr id="2" name="Rounded Rectangle 1"/>
        <xdr:cNvSpPr/>
      </xdr:nvSpPr>
      <xdr:spPr>
        <a:xfrm>
          <a:off x="2743200" y="114300"/>
          <a:ext cx="7334250" cy="5334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  <a:effectLst>
          <a:outerShdw blurRad="635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rgbClr val="C00000"/>
              </a:solidFill>
              <a:latin typeface="Old English Text MT" panose="03040902040508030806" pitchFamily="66" charset="0"/>
            </a:rPr>
            <a:t>Shaheen</a:t>
          </a:r>
          <a:r>
            <a:rPr lang="en-US" sz="2400" b="1" baseline="0">
              <a:solidFill>
                <a:srgbClr val="C00000"/>
              </a:solidFill>
              <a:latin typeface="Old English Text MT" panose="03040902040508030806" pitchFamily="66" charset="0"/>
            </a:rPr>
            <a:t> Group of Colleges, Bahria Town, Lahore</a:t>
          </a:r>
        </a:p>
      </xdr:txBody>
    </xdr:sp>
    <xdr:clientData/>
  </xdr:twoCellAnchor>
  <xdr:twoCellAnchor>
    <xdr:from>
      <xdr:col>30</xdr:col>
      <xdr:colOff>171450</xdr:colOff>
      <xdr:row>1</xdr:row>
      <xdr:rowOff>66675</xdr:rowOff>
    </xdr:from>
    <xdr:to>
      <xdr:col>33</xdr:col>
      <xdr:colOff>495300</xdr:colOff>
      <xdr:row>3</xdr:row>
      <xdr:rowOff>38100</xdr:rowOff>
    </xdr:to>
    <xdr:sp macro="" textlink="">
      <xdr:nvSpPr>
        <xdr:cNvPr id="3" name="Rounded Rectangle 2"/>
        <xdr:cNvSpPr/>
      </xdr:nvSpPr>
      <xdr:spPr>
        <a:xfrm>
          <a:off x="19307175" y="257175"/>
          <a:ext cx="2381250" cy="35242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  <a:effectLst>
          <a:outerShdw blurRad="635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C00000"/>
              </a:solidFill>
              <a:latin typeface="Aptos" panose="020B0004020202020204" pitchFamily="34" charset="0"/>
            </a:rPr>
            <a:t>Important</a:t>
          </a:r>
          <a:r>
            <a:rPr lang="en-US" sz="1200" b="1" baseline="0">
              <a:solidFill>
                <a:srgbClr val="C00000"/>
              </a:solidFill>
              <a:latin typeface="Aptos" panose="020B0004020202020204" pitchFamily="34" charset="0"/>
            </a:rPr>
            <a:t> Notice!</a:t>
          </a:r>
          <a:endParaRPr lang="en-US" sz="1200" b="1">
            <a:solidFill>
              <a:srgbClr val="C00000"/>
            </a:solidFill>
            <a:latin typeface="Aptos" panose="020B0004020202020204" pitchFamily="34" charset="0"/>
          </a:endParaRPr>
        </a:p>
      </xdr:txBody>
    </xdr:sp>
    <xdr:clientData/>
  </xdr:twoCellAnchor>
  <xdr:twoCellAnchor>
    <xdr:from>
      <xdr:col>30</xdr:col>
      <xdr:colOff>161925</xdr:colOff>
      <xdr:row>4</xdr:row>
      <xdr:rowOff>9524</xdr:rowOff>
    </xdr:from>
    <xdr:to>
      <xdr:col>33</xdr:col>
      <xdr:colOff>523875</xdr:colOff>
      <xdr:row>15</xdr:row>
      <xdr:rowOff>123825</xdr:rowOff>
    </xdr:to>
    <xdr:sp macro="" textlink="">
      <xdr:nvSpPr>
        <xdr:cNvPr id="4" name="Rounded Rectangle 3"/>
        <xdr:cNvSpPr/>
      </xdr:nvSpPr>
      <xdr:spPr>
        <a:xfrm>
          <a:off x="19297650" y="771524"/>
          <a:ext cx="2419350" cy="2190751"/>
        </a:xfrm>
        <a:prstGeom prst="roundRect">
          <a:avLst>
            <a:gd name="adj" fmla="val 291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20000"/>
              <a:lumOff val="80000"/>
            </a:schemeClr>
          </a:solidFill>
        </a:ln>
        <a:effectLst>
          <a:outerShdw blurRad="635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tx1"/>
              </a:solidFill>
              <a:latin typeface="Aptos" panose="020B0004020202020204" pitchFamily="34" charset="0"/>
              <a:cs typeface="Times New Roman" panose="02020603050405020304" pitchFamily="18" charset="0"/>
            </a:rPr>
            <a:t>Hello,</a:t>
          </a:r>
          <a:r>
            <a:rPr lang="en-US" sz="1100" b="1" baseline="0">
              <a:solidFill>
                <a:schemeClr val="tx1"/>
              </a:solidFill>
              <a:latin typeface="Aptos" panose="020B0004020202020204" pitchFamily="34" charset="0"/>
              <a:cs typeface="Times New Roman" panose="02020603050405020304" pitchFamily="18" charset="0"/>
            </a:rPr>
            <a:t> dear user!</a:t>
          </a:r>
        </a:p>
        <a:p>
          <a:pPr algn="l"/>
          <a:r>
            <a:rPr lang="en-US" sz="1100" b="0" baseline="0">
              <a:solidFill>
                <a:schemeClr val="tx1"/>
              </a:solidFill>
              <a:latin typeface="Aptos" panose="020B0004020202020204" pitchFamily="34" charset="0"/>
              <a:cs typeface="Times New Roman" panose="02020603050405020304" pitchFamily="18" charset="0"/>
            </a:rPr>
            <a:t>This admission form is only a sample inspired by the real-world projects. All the entries are fictional and don't belong to any citizen. Please note that the Citizen Numbers are just formal entries and regardless to the cities. </a:t>
          </a:r>
        </a:p>
        <a:p>
          <a:pPr algn="l"/>
          <a:r>
            <a:rPr lang="en-US" sz="1100" b="0" baseline="0">
              <a:solidFill>
                <a:schemeClr val="tx1"/>
              </a:solidFill>
              <a:latin typeface="Aptos" panose="020B0004020202020204" pitchFamily="34" charset="0"/>
              <a:cs typeface="Times New Roman" panose="02020603050405020304" pitchFamily="18" charset="0"/>
            </a:rPr>
            <a:t>For updating record of First Year, press Ctrl + U.</a:t>
          </a:r>
        </a:p>
        <a:p>
          <a:pPr algn="l"/>
          <a:r>
            <a:rPr lang="en-US" sz="1100" b="0" baseline="0">
              <a:solidFill>
                <a:schemeClr val="tx1"/>
              </a:solidFill>
              <a:latin typeface="Aptos" panose="020B0004020202020204" pitchFamily="34" charset="0"/>
              <a:cs typeface="Times New Roman" panose="02020603050405020304" pitchFamily="18" charset="0"/>
            </a:rPr>
            <a:t>For updating record of Second Year, press Ctrl + I.</a:t>
          </a:r>
        </a:p>
        <a:p>
          <a:pPr algn="l"/>
          <a:endParaRPr lang="en-US" sz="1100" b="0">
            <a:solidFill>
              <a:schemeClr val="tx1"/>
            </a:solidFill>
            <a:latin typeface="Aptos" panose="020B000402020202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AG64"/>
  <sheetViews>
    <sheetView tabSelected="1" zoomScaleNormal="100" workbookViewId="0">
      <selection activeCell="J7" sqref="J7:L7"/>
    </sheetView>
  </sheetViews>
  <sheetFormatPr defaultRowHeight="15" x14ac:dyDescent="0.25"/>
  <cols>
    <col min="1" max="2" width="9" style="1" customWidth="1"/>
    <col min="3" max="6" width="9" style="1"/>
    <col min="7" max="7" width="1.875" style="1" customWidth="1"/>
    <col min="8" max="10" width="9" style="1"/>
    <col min="11" max="11" width="2.5" style="1" customWidth="1"/>
    <col min="12" max="13" width="9" style="1"/>
    <col min="14" max="14" width="1.875" style="1" customWidth="1"/>
    <col min="15" max="19" width="9" style="1"/>
    <col min="20" max="20" width="10.875" style="1" bestFit="1" customWidth="1"/>
    <col min="21" max="16384" width="9" style="1"/>
  </cols>
  <sheetData>
    <row r="5" spans="5:17" ht="22.5" customHeight="1" thickBot="1" x14ac:dyDescent="0.3">
      <c r="F5" s="2"/>
      <c r="G5" s="2"/>
      <c r="I5" s="24" t="s">
        <v>0</v>
      </c>
      <c r="J5" s="24"/>
      <c r="K5" s="24"/>
      <c r="L5" s="24"/>
      <c r="M5" s="24"/>
    </row>
    <row r="7" spans="5:17" x14ac:dyDescent="0.25">
      <c r="J7" s="17" t="s">
        <v>40</v>
      </c>
      <c r="K7" s="17"/>
      <c r="L7" s="17"/>
    </row>
    <row r="8" spans="5:17" ht="7.5" customHeight="1" x14ac:dyDescent="0.25"/>
    <row r="9" spans="5:17" ht="11.25" customHeight="1" x14ac:dyDescent="0.25"/>
    <row r="10" spans="5:17" ht="15.75" thickBot="1" x14ac:dyDescent="0.3">
      <c r="E10" s="18" t="s">
        <v>2</v>
      </c>
      <c r="F10" s="18"/>
      <c r="H10" s="20">
        <f>IF(J7="First Year",MAX('11th Database'!A:A)+1,MAX('12th Database'!A:A)+1)</f>
        <v>682</v>
      </c>
      <c r="I10" s="20"/>
      <c r="J10" s="20"/>
      <c r="K10" s="4"/>
      <c r="L10" s="18" t="s">
        <v>8</v>
      </c>
      <c r="M10" s="18"/>
      <c r="O10" s="22"/>
      <c r="P10" s="20"/>
      <c r="Q10" s="20"/>
    </row>
    <row r="11" spans="5:17" x14ac:dyDescent="0.25">
      <c r="E11" s="3"/>
      <c r="F11" s="3"/>
      <c r="L11" s="18"/>
      <c r="M11" s="18"/>
    </row>
    <row r="12" spans="5:17" ht="15.75" thickBot="1" x14ac:dyDescent="0.3">
      <c r="E12" s="18" t="s">
        <v>3</v>
      </c>
      <c r="F12" s="18"/>
      <c r="H12" s="20">
        <f>IF(J7="First Year",MAX('11th Database'!B:B)+1, MAX('12th Database'!B:B)+1)</f>
        <v>3</v>
      </c>
      <c r="I12" s="20"/>
      <c r="J12" s="20"/>
      <c r="K12" s="4"/>
      <c r="L12" s="18" t="s">
        <v>13</v>
      </c>
      <c r="M12" s="18"/>
      <c r="O12" s="20"/>
      <c r="P12" s="20"/>
      <c r="Q12" s="20"/>
    </row>
    <row r="13" spans="5:17" x14ac:dyDescent="0.25">
      <c r="E13" s="3"/>
      <c r="F13" s="3"/>
      <c r="L13" s="18"/>
      <c r="M13" s="18"/>
    </row>
    <row r="14" spans="5:17" ht="15.75" thickBot="1" x14ac:dyDescent="0.3">
      <c r="E14" s="18" t="s">
        <v>4</v>
      </c>
      <c r="F14" s="18"/>
      <c r="H14" s="20"/>
      <c r="I14" s="20"/>
      <c r="J14" s="20"/>
      <c r="K14" s="4"/>
      <c r="L14" s="18" t="s">
        <v>17</v>
      </c>
      <c r="M14" s="18"/>
      <c r="O14" s="20"/>
      <c r="P14" s="20"/>
      <c r="Q14" s="20"/>
    </row>
    <row r="15" spans="5:17" x14ac:dyDescent="0.25">
      <c r="E15" s="3"/>
      <c r="F15" s="3"/>
      <c r="L15" s="18"/>
      <c r="M15" s="18"/>
    </row>
    <row r="16" spans="5:17" ht="15.75" thickBot="1" x14ac:dyDescent="0.3">
      <c r="E16" s="18" t="s">
        <v>5</v>
      </c>
      <c r="F16" s="18"/>
      <c r="H16" s="20"/>
      <c r="I16" s="20"/>
      <c r="J16" s="20"/>
      <c r="K16" s="4"/>
      <c r="L16" s="18" t="s">
        <v>11</v>
      </c>
      <c r="M16" s="18"/>
      <c r="O16" s="20"/>
      <c r="P16" s="20"/>
      <c r="Q16" s="20"/>
    </row>
    <row r="17" spans="5:33" x14ac:dyDescent="0.25">
      <c r="E17" s="3"/>
      <c r="F17" s="3"/>
      <c r="L17" s="18"/>
      <c r="M17" s="18"/>
    </row>
    <row r="18" spans="5:33" ht="15.75" thickBot="1" x14ac:dyDescent="0.3">
      <c r="E18" s="18" t="s">
        <v>6</v>
      </c>
      <c r="F18" s="18"/>
      <c r="H18" s="25"/>
      <c r="I18" s="25"/>
      <c r="J18" s="25"/>
      <c r="K18" s="4"/>
      <c r="L18" s="18" t="s">
        <v>9</v>
      </c>
      <c r="M18" s="18"/>
      <c r="O18" s="20" t="str">
        <f>IF(J7="First Year", "Matriculation", "First Year")</f>
        <v>First Year</v>
      </c>
      <c r="P18" s="20"/>
      <c r="Q18" s="20"/>
      <c r="AF18" s="15" t="s">
        <v>34</v>
      </c>
      <c r="AG18" s="15"/>
    </row>
    <row r="19" spans="5:33" x14ac:dyDescent="0.25">
      <c r="E19" s="3"/>
      <c r="F19" s="3"/>
      <c r="L19" s="18"/>
      <c r="M19" s="18"/>
    </row>
    <row r="20" spans="5:33" ht="15.75" thickBot="1" x14ac:dyDescent="0.3">
      <c r="E20" s="18" t="s">
        <v>7</v>
      </c>
      <c r="F20" s="18"/>
      <c r="H20" s="23"/>
      <c r="I20" s="23"/>
      <c r="J20" s="23"/>
      <c r="K20" s="4"/>
      <c r="L20" s="18" t="s">
        <v>10</v>
      </c>
      <c r="M20" s="18"/>
      <c r="O20" s="21"/>
      <c r="P20" s="21"/>
      <c r="Q20" s="21"/>
    </row>
    <row r="22" spans="5:33" ht="7.5" customHeight="1" x14ac:dyDescent="0.25">
      <c r="I22" s="14"/>
      <c r="M22" s="14"/>
      <c r="N22" s="14"/>
      <c r="O22" s="14"/>
    </row>
    <row r="23" spans="5:33" x14ac:dyDescent="0.25">
      <c r="J23" s="15" t="s">
        <v>33</v>
      </c>
      <c r="K23" s="15"/>
      <c r="L23" s="15"/>
    </row>
    <row r="51" spans="4:8" x14ac:dyDescent="0.25">
      <c r="D51" s="17" t="s">
        <v>14</v>
      </c>
      <c r="E51" s="17"/>
      <c r="F51" s="17"/>
      <c r="G51" s="17"/>
      <c r="H51" s="17"/>
    </row>
    <row r="53" spans="4:8" x14ac:dyDescent="0.25">
      <c r="D53" s="18" t="s">
        <v>2</v>
      </c>
      <c r="E53" s="18"/>
      <c r="F53" s="19">
        <f>H10</f>
        <v>682</v>
      </c>
      <c r="G53" s="19"/>
      <c r="H53" s="19"/>
    </row>
    <row r="54" spans="4:8" x14ac:dyDescent="0.25">
      <c r="D54" s="18" t="s">
        <v>3</v>
      </c>
      <c r="E54" s="18"/>
      <c r="F54" s="16">
        <f>H12</f>
        <v>3</v>
      </c>
      <c r="G54" s="16"/>
      <c r="H54" s="16"/>
    </row>
    <row r="55" spans="4:8" x14ac:dyDescent="0.25">
      <c r="D55" s="18" t="s">
        <v>4</v>
      </c>
      <c r="E55" s="18"/>
      <c r="F55" s="16">
        <f>H14</f>
        <v>0</v>
      </c>
      <c r="G55" s="16"/>
      <c r="H55" s="16"/>
    </row>
    <row r="56" spans="4:8" x14ac:dyDescent="0.25">
      <c r="D56" s="18" t="s">
        <v>5</v>
      </c>
      <c r="E56" s="18"/>
      <c r="F56" s="16">
        <f>H16</f>
        <v>0</v>
      </c>
      <c r="G56" s="16"/>
      <c r="H56" s="16"/>
    </row>
    <row r="57" spans="4:8" x14ac:dyDescent="0.25">
      <c r="D57" s="18" t="s">
        <v>6</v>
      </c>
      <c r="E57" s="18"/>
      <c r="F57" s="16">
        <f>H18</f>
        <v>0</v>
      </c>
      <c r="G57" s="16"/>
      <c r="H57" s="16"/>
    </row>
    <row r="58" spans="4:8" x14ac:dyDescent="0.25">
      <c r="D58" s="18" t="s">
        <v>7</v>
      </c>
      <c r="E58" s="18"/>
      <c r="F58" s="16">
        <f>H20</f>
        <v>0</v>
      </c>
      <c r="G58" s="16"/>
      <c r="H58" s="16"/>
    </row>
    <row r="59" spans="4:8" x14ac:dyDescent="0.25">
      <c r="D59" s="18" t="s">
        <v>8</v>
      </c>
      <c r="E59" s="18"/>
      <c r="F59" s="16">
        <f>O10</f>
        <v>0</v>
      </c>
      <c r="G59" s="16"/>
      <c r="H59" s="16"/>
    </row>
    <row r="60" spans="4:8" x14ac:dyDescent="0.25">
      <c r="D60" s="18" t="s">
        <v>13</v>
      </c>
      <c r="E60" s="18"/>
      <c r="F60" s="16">
        <f>O12</f>
        <v>0</v>
      </c>
      <c r="G60" s="16"/>
      <c r="H60" s="16"/>
    </row>
    <row r="61" spans="4:8" x14ac:dyDescent="0.25">
      <c r="D61" s="18" t="s">
        <v>12</v>
      </c>
      <c r="E61" s="18"/>
      <c r="F61" s="16">
        <f>O14</f>
        <v>0</v>
      </c>
      <c r="G61" s="16"/>
      <c r="H61" s="16"/>
    </row>
    <row r="62" spans="4:8" x14ac:dyDescent="0.25">
      <c r="D62" s="18" t="s">
        <v>11</v>
      </c>
      <c r="E62" s="18"/>
      <c r="F62" s="16">
        <f>O16</f>
        <v>0</v>
      </c>
      <c r="G62" s="16"/>
      <c r="H62" s="16"/>
    </row>
    <row r="63" spans="4:8" x14ac:dyDescent="0.25">
      <c r="D63" s="18" t="s">
        <v>9</v>
      </c>
      <c r="E63" s="18"/>
      <c r="F63" s="16" t="str">
        <f>O18</f>
        <v>First Year</v>
      </c>
      <c r="G63" s="16"/>
      <c r="H63" s="16"/>
    </row>
    <row r="64" spans="4:8" x14ac:dyDescent="0.25">
      <c r="D64" s="18" t="s">
        <v>10</v>
      </c>
      <c r="E64" s="18"/>
      <c r="F64" s="16">
        <f>O20</f>
        <v>0</v>
      </c>
      <c r="G64" s="16"/>
      <c r="H64" s="16"/>
    </row>
  </sheetData>
  <mergeCells count="58">
    <mergeCell ref="I5:M5"/>
    <mergeCell ref="J7:L7"/>
    <mergeCell ref="J23:L23"/>
    <mergeCell ref="L15:M15"/>
    <mergeCell ref="L17:M17"/>
    <mergeCell ref="L20:M20"/>
    <mergeCell ref="L10:M10"/>
    <mergeCell ref="H18:J18"/>
    <mergeCell ref="H16:J16"/>
    <mergeCell ref="H14:J14"/>
    <mergeCell ref="H12:J12"/>
    <mergeCell ref="E20:F20"/>
    <mergeCell ref="E18:F18"/>
    <mergeCell ref="E16:F16"/>
    <mergeCell ref="E14:F14"/>
    <mergeCell ref="E12:F12"/>
    <mergeCell ref="E10:F10"/>
    <mergeCell ref="H10:J10"/>
    <mergeCell ref="L19:M19"/>
    <mergeCell ref="O20:Q20"/>
    <mergeCell ref="O18:Q18"/>
    <mergeCell ref="O16:Q16"/>
    <mergeCell ref="O14:Q14"/>
    <mergeCell ref="O12:Q12"/>
    <mergeCell ref="O10:Q10"/>
    <mergeCell ref="L18:M18"/>
    <mergeCell ref="L16:M16"/>
    <mergeCell ref="L14:M14"/>
    <mergeCell ref="L12:M12"/>
    <mergeCell ref="L11:M11"/>
    <mergeCell ref="L13:M13"/>
    <mergeCell ref="H20:J20"/>
    <mergeCell ref="D53:E53"/>
    <mergeCell ref="D54:E54"/>
    <mergeCell ref="D55:E55"/>
    <mergeCell ref="D56:E56"/>
    <mergeCell ref="D57:E57"/>
    <mergeCell ref="D59:E59"/>
    <mergeCell ref="D60:E60"/>
    <mergeCell ref="D61:E61"/>
    <mergeCell ref="D62:E62"/>
    <mergeCell ref="D63:E63"/>
    <mergeCell ref="AF18:AG18"/>
    <mergeCell ref="F62:H62"/>
    <mergeCell ref="F63:H63"/>
    <mergeCell ref="F64:H64"/>
    <mergeCell ref="D51:H51"/>
    <mergeCell ref="D64:E64"/>
    <mergeCell ref="F53:H53"/>
    <mergeCell ref="F54:H54"/>
    <mergeCell ref="F55:H55"/>
    <mergeCell ref="F56:H56"/>
    <mergeCell ref="F57:H57"/>
    <mergeCell ref="F58:H58"/>
    <mergeCell ref="F59:H59"/>
    <mergeCell ref="F60:H60"/>
    <mergeCell ref="F61:H61"/>
    <mergeCell ref="D58:E58"/>
  </mergeCells>
  <conditionalFormatting sqref="E10:Q20">
    <cfRule type="expression" dxfId="0" priority="2">
      <formula>$J$7="Select Class"</formula>
    </cfRule>
  </conditionalFormatting>
  <dataValidations count="3">
    <dataValidation type="list" allowBlank="1" showInputMessage="1" showErrorMessage="1" sqref="J7">
      <formula1>"Select Class, First Year, Second Year"</formula1>
    </dataValidation>
    <dataValidation type="list" allowBlank="1" showInputMessage="1" showErrorMessage="1" errorTitle="Invalid Input!" error="You are requested to enter either &quot;Male&quot; or &quot;Female&quot;._x000a_Thanks!" sqref="O12:Q12">
      <formula1>"Male, Female"</formula1>
    </dataValidation>
    <dataValidation type="list" allowBlank="1" showInputMessage="1" showErrorMessage="1" sqref="O16:Q16">
      <formula1>"Pre-Medical, Pre-Engineering, Intermediate in CS, F.A, I.COM"</formula1>
    </dataValidation>
  </dataValidations>
  <hyperlinks>
    <hyperlink ref="J23:L23" location="'Admission Form'!AO1" display="Check Notice!"/>
    <hyperlink ref="AF18:AG18" location="'Admission Form'!A1" display="Back to Form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>
      <selection activeCell="B5" sqref="B5"/>
    </sheetView>
  </sheetViews>
  <sheetFormatPr defaultRowHeight="15" x14ac:dyDescent="0.25"/>
  <cols>
    <col min="1" max="1" width="13" bestFit="1" customWidth="1"/>
    <col min="2" max="2" width="7.125" customWidth="1"/>
    <col min="3" max="3" width="17.5" bestFit="1" customWidth="1"/>
    <col min="4" max="4" width="17.875" bestFit="1" customWidth="1"/>
    <col min="5" max="5" width="15.25" style="7" bestFit="1" customWidth="1"/>
    <col min="6" max="6" width="14.75" style="9" bestFit="1" customWidth="1"/>
    <col min="7" max="7" width="11.5" style="11" bestFit="1" customWidth="1"/>
    <col min="8" max="8" width="7.25" customWidth="1"/>
    <col min="9" max="9" width="8" customWidth="1"/>
    <col min="10" max="10" width="15.5" bestFit="1" customWidth="1"/>
    <col min="11" max="11" width="11.75" bestFit="1" customWidth="1"/>
    <col min="12" max="12" width="15" style="13" bestFit="1" customWidth="1"/>
  </cols>
  <sheetData>
    <row r="1" spans="1:12" x14ac:dyDescent="0.25">
      <c r="A1" s="5" t="s">
        <v>2</v>
      </c>
      <c r="B1" s="5" t="s">
        <v>3</v>
      </c>
      <c r="C1" s="5" t="s">
        <v>4</v>
      </c>
      <c r="D1" s="5" t="s">
        <v>5</v>
      </c>
      <c r="E1" s="6" t="s">
        <v>6</v>
      </c>
      <c r="F1" s="8" t="s">
        <v>7</v>
      </c>
      <c r="G1" s="10" t="s">
        <v>8</v>
      </c>
      <c r="H1" s="5" t="s">
        <v>13</v>
      </c>
      <c r="I1" s="5" t="s">
        <v>17</v>
      </c>
      <c r="J1" s="5" t="s">
        <v>11</v>
      </c>
      <c r="K1" s="5" t="s">
        <v>9</v>
      </c>
      <c r="L1" s="12" t="s">
        <v>10</v>
      </c>
    </row>
    <row r="2" spans="1:12" x14ac:dyDescent="0.25">
      <c r="A2">
        <v>564</v>
      </c>
      <c r="B2">
        <v>1</v>
      </c>
      <c r="C2" t="s">
        <v>24</v>
      </c>
      <c r="D2" t="s">
        <v>25</v>
      </c>
      <c r="E2" s="7">
        <v>3230112345678</v>
      </c>
      <c r="F2" s="9">
        <v>3421234567</v>
      </c>
      <c r="G2" s="11">
        <v>39111</v>
      </c>
      <c r="H2" t="s">
        <v>15</v>
      </c>
      <c r="I2" t="s">
        <v>16</v>
      </c>
      <c r="J2" t="s">
        <v>20</v>
      </c>
      <c r="K2" t="s">
        <v>22</v>
      </c>
      <c r="L2" s="13">
        <v>0.78</v>
      </c>
    </row>
    <row r="3" spans="1:12" x14ac:dyDescent="0.25">
      <c r="A3">
        <v>565</v>
      </c>
      <c r="B3">
        <v>2</v>
      </c>
      <c r="C3" t="s">
        <v>26</v>
      </c>
      <c r="D3" t="s">
        <v>27</v>
      </c>
      <c r="E3" s="7">
        <v>3230109876543</v>
      </c>
      <c r="F3" s="9">
        <v>3211234897</v>
      </c>
      <c r="G3" s="11">
        <v>38515</v>
      </c>
      <c r="H3" t="s">
        <v>15</v>
      </c>
      <c r="I3" t="s">
        <v>28</v>
      </c>
      <c r="J3" t="s">
        <v>18</v>
      </c>
      <c r="K3" t="s">
        <v>22</v>
      </c>
      <c r="L3" s="13">
        <v>0.92</v>
      </c>
    </row>
    <row r="4" spans="1:12" x14ac:dyDescent="0.25">
      <c r="A4">
        <v>566</v>
      </c>
      <c r="B4">
        <v>3</v>
      </c>
      <c r="C4" t="s">
        <v>35</v>
      </c>
      <c r="D4" t="s">
        <v>36</v>
      </c>
      <c r="E4" s="7">
        <v>3230112908763</v>
      </c>
      <c r="F4" s="9">
        <v>3453265789</v>
      </c>
      <c r="G4" s="11">
        <v>39275</v>
      </c>
      <c r="H4" t="s">
        <v>15</v>
      </c>
      <c r="I4" t="s">
        <v>16</v>
      </c>
      <c r="J4" t="s">
        <v>20</v>
      </c>
      <c r="K4" t="s">
        <v>22</v>
      </c>
      <c r="L4" s="13">
        <v>0.88</v>
      </c>
    </row>
    <row r="5" spans="1:12" x14ac:dyDescent="0.25">
      <c r="A5">
        <v>567</v>
      </c>
      <c r="B5">
        <v>4</v>
      </c>
      <c r="C5" t="s">
        <v>37</v>
      </c>
      <c r="D5" t="s">
        <v>38</v>
      </c>
      <c r="E5" s="7">
        <v>3230112456789</v>
      </c>
      <c r="F5" s="9">
        <v>3452134213</v>
      </c>
      <c r="G5" s="11">
        <v>39151</v>
      </c>
      <c r="H5" t="s">
        <v>15</v>
      </c>
      <c r="I5" t="s">
        <v>39</v>
      </c>
      <c r="J5" t="s">
        <v>21</v>
      </c>
      <c r="K5" t="s">
        <v>22</v>
      </c>
      <c r="L5" s="13">
        <v>0.78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"/>
  <sheetViews>
    <sheetView workbookViewId="0">
      <selection activeCell="D9" sqref="D9"/>
    </sheetView>
  </sheetViews>
  <sheetFormatPr defaultRowHeight="15" x14ac:dyDescent="0.25"/>
  <cols>
    <col min="1" max="1" width="13" bestFit="1" customWidth="1"/>
    <col min="2" max="2" width="7.125" bestFit="1" customWidth="1"/>
    <col min="3" max="3" width="18.125" bestFit="1" customWidth="1"/>
    <col min="4" max="4" width="19.75" bestFit="1" customWidth="1"/>
    <col min="5" max="5" width="15.25" style="7" bestFit="1" customWidth="1"/>
    <col min="6" max="6" width="14.75" style="9" bestFit="1" customWidth="1"/>
    <col min="7" max="7" width="11.5" style="11" bestFit="1" customWidth="1"/>
    <col min="8" max="8" width="7.25" bestFit="1" customWidth="1"/>
    <col min="9" max="9" width="8" bestFit="1" customWidth="1"/>
    <col min="10" max="10" width="15.5" bestFit="1" customWidth="1"/>
    <col min="11" max="11" width="11" bestFit="1" customWidth="1"/>
    <col min="12" max="12" width="15" style="13" bestFit="1" customWidth="1"/>
  </cols>
  <sheetData>
    <row r="1" spans="1:12" x14ac:dyDescent="0.25">
      <c r="A1" s="5" t="s">
        <v>2</v>
      </c>
      <c r="B1" s="5" t="s">
        <v>3</v>
      </c>
      <c r="C1" s="5" t="s">
        <v>4</v>
      </c>
      <c r="D1" s="5" t="s">
        <v>5</v>
      </c>
      <c r="E1" s="6" t="s">
        <v>6</v>
      </c>
      <c r="F1" s="8" t="s">
        <v>7</v>
      </c>
      <c r="G1" s="10" t="s">
        <v>8</v>
      </c>
      <c r="H1" s="5" t="s">
        <v>13</v>
      </c>
      <c r="I1" s="5" t="s">
        <v>17</v>
      </c>
      <c r="J1" s="5" t="s">
        <v>11</v>
      </c>
      <c r="K1" s="5" t="s">
        <v>9</v>
      </c>
      <c r="L1" s="12" t="s">
        <v>10</v>
      </c>
    </row>
    <row r="2" spans="1:12" x14ac:dyDescent="0.25">
      <c r="A2">
        <v>680</v>
      </c>
      <c r="B2">
        <v>1</v>
      </c>
      <c r="C2" t="s">
        <v>29</v>
      </c>
      <c r="D2" t="s">
        <v>30</v>
      </c>
      <c r="E2" s="7">
        <v>3230156784321</v>
      </c>
      <c r="F2" s="9">
        <v>3059812346</v>
      </c>
      <c r="G2" s="11">
        <v>38779</v>
      </c>
      <c r="H2" t="s">
        <v>15</v>
      </c>
      <c r="I2" t="s">
        <v>23</v>
      </c>
      <c r="J2" t="s">
        <v>19</v>
      </c>
      <c r="K2" t="s">
        <v>1</v>
      </c>
      <c r="L2" s="13">
        <v>0.65</v>
      </c>
    </row>
    <row r="3" spans="1:12" x14ac:dyDescent="0.25">
      <c r="A3">
        <v>681</v>
      </c>
      <c r="B3">
        <v>2</v>
      </c>
      <c r="C3" t="s">
        <v>31</v>
      </c>
      <c r="D3" t="s">
        <v>32</v>
      </c>
      <c r="E3" s="7">
        <v>3230167894321</v>
      </c>
      <c r="F3" s="9">
        <v>3111278542</v>
      </c>
      <c r="G3" s="11">
        <v>38785</v>
      </c>
      <c r="H3" t="s">
        <v>15</v>
      </c>
      <c r="I3" t="s">
        <v>16</v>
      </c>
      <c r="J3" t="s">
        <v>21</v>
      </c>
      <c r="K3" t="s">
        <v>1</v>
      </c>
      <c r="L3" s="13">
        <v>0.89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Admission Form</vt:lpstr>
      <vt:lpstr>11th Database</vt:lpstr>
      <vt:lpstr>12th 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saqib Rafeeq</dc:creator>
  <cp:lastModifiedBy>Sam Ssh</cp:lastModifiedBy>
  <dcterms:created xsi:type="dcterms:W3CDTF">2026-05-04T05:54:44Z</dcterms:created>
  <dcterms:modified xsi:type="dcterms:W3CDTF">2026-06-09T18:05:02Z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separator idQ="doc:sep1" visible="true"/>
        <mso:button idQ="doc:Update_1" visible="true" label="11th_Update" imageMso="ListMacros" onAction="Update"/>
        <mso:button idQ="doc:Update_2_1" visible="true" label="12th_Update" imageMso="ListMacros" onAction="Update_2"/>
      </mso:documentControls>
    </mso:qat>
  </mso:ribbon>
</mso:customUI>
</file>