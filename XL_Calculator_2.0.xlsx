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ductivity\Spreadsheets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G12" i="1"/>
  <c r="B16" i="1" l="1"/>
  <c r="D10" i="1"/>
  <c r="D8" i="1"/>
  <c r="K16" i="1" l="1"/>
  <c r="K10" i="1" l="1"/>
  <c r="N10" i="1" s="1"/>
</calcChain>
</file>

<file path=xl/sharedStrings.xml><?xml version="1.0" encoding="utf-8"?>
<sst xmlns="http://schemas.openxmlformats.org/spreadsheetml/2006/main" count="22" uniqueCount="20">
  <si>
    <t>Algebra</t>
  </si>
  <si>
    <t>Trigonometry</t>
  </si>
  <si>
    <t>Result</t>
  </si>
  <si>
    <t>Angles (Degrees)</t>
  </si>
  <si>
    <t>Sin</t>
  </si>
  <si>
    <t>Cos</t>
  </si>
  <si>
    <t>Tan</t>
  </si>
  <si>
    <t>∞</t>
  </si>
  <si>
    <t>Table of Angles</t>
  </si>
  <si>
    <t>Got confused? Please check Table of Angles</t>
  </si>
  <si>
    <t>0°</t>
  </si>
  <si>
    <t>30°</t>
  </si>
  <si>
    <t>45°</t>
  </si>
  <si>
    <t>60°</t>
  </si>
  <si>
    <t>90°</t>
  </si>
  <si>
    <t>180°</t>
  </si>
  <si>
    <t>270°</t>
  </si>
  <si>
    <t>360°</t>
  </si>
  <si>
    <t>Go back to Calculator</t>
  </si>
  <si>
    <t>Select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</si>
</sst>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C00000"/>
      <name val="Aptos"/>
      <family val="2"/>
    </font>
    <font>
      <sz val="11"/>
      <color rgb="FF006600"/>
      <name val="Aptos"/>
      <family val="2"/>
    </font>
    <font>
      <u/>
      <sz val="11"/>
      <color theme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2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164" fontId="0" fillId="2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2" fontId="0" fillId="2" borderId="2" xfId="0" applyNumberForma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C0000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0</xdr:row>
      <xdr:rowOff>152400</xdr:rowOff>
    </xdr:from>
    <xdr:to>
      <xdr:col>10</xdr:col>
      <xdr:colOff>371475</xdr:colOff>
      <xdr:row>2</xdr:row>
      <xdr:rowOff>123825</xdr:rowOff>
    </xdr:to>
    <xdr:sp macro="" textlink="">
      <xdr:nvSpPr>
        <xdr:cNvPr id="2" name="Calc"/>
        <xdr:cNvSpPr/>
      </xdr:nvSpPr>
      <xdr:spPr>
        <a:xfrm>
          <a:off x="4800600" y="152400"/>
          <a:ext cx="2105025" cy="3524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6600"/>
              </a:solidFill>
              <a:latin typeface="Aptos" panose="020B0004020202020204" pitchFamily="34" charset="0"/>
            </a:rPr>
            <a:t>XL</a:t>
          </a:r>
          <a:r>
            <a:rPr lang="en-US" sz="1400" b="1">
              <a:solidFill>
                <a:srgbClr val="C00000"/>
              </a:solidFill>
              <a:latin typeface="Aptos" panose="020B0004020202020204" pitchFamily="34" charset="0"/>
            </a:rPr>
            <a:t> - Calculator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L18"/>
  <sheetViews>
    <sheetView tabSelected="1" workbookViewId="0">
      <selection activeCell="G5" sqref="G5:H5"/>
    </sheetView>
  </sheetViews>
  <sheetFormatPr defaultRowHeight="15" x14ac:dyDescent="0.25"/>
  <cols>
    <col min="1" max="1" width="9" style="1" customWidth="1"/>
    <col min="2" max="2" width="9" style="1"/>
    <col min="3" max="4" width="9" style="1" customWidth="1"/>
    <col min="5" max="5" width="10" style="1" customWidth="1"/>
    <col min="6" max="6" width="3.75" style="1" customWidth="1"/>
    <col min="7" max="11" width="9" style="1"/>
    <col min="12" max="12" width="11.25" style="1" customWidth="1"/>
    <col min="13" max="13" width="3.75" style="1" customWidth="1"/>
    <col min="14" max="46" width="9" style="1"/>
    <col min="47" max="47" width="1.875" style="1" customWidth="1"/>
    <col min="48" max="48" width="9" style="1"/>
    <col min="49" max="49" width="1.875" style="1" customWidth="1"/>
    <col min="50" max="50" width="9" style="1"/>
    <col min="51" max="51" width="1.875" style="1" customWidth="1"/>
    <col min="52" max="52" width="9" style="1"/>
    <col min="53" max="53" width="1.875" style="1" customWidth="1"/>
    <col min="54" max="54" width="9" style="1"/>
    <col min="55" max="55" width="1.875" style="1" customWidth="1"/>
    <col min="56" max="56" width="9" style="1"/>
    <col min="57" max="57" width="1.875" style="1" customWidth="1"/>
    <col min="58" max="58" width="9" style="1"/>
    <col min="59" max="59" width="1.875" style="1" customWidth="1"/>
    <col min="60" max="60" width="9" style="1"/>
    <col min="61" max="61" width="1.875" style="1" customWidth="1"/>
    <col min="62" max="16384" width="9" style="1"/>
  </cols>
  <sheetData>
    <row r="3" spans="2:64" x14ac:dyDescent="0.25">
      <c r="AS3" s="9"/>
      <c r="AT3" s="9"/>
      <c r="AU3" s="9"/>
      <c r="AV3" s="9"/>
      <c r="AW3" s="9"/>
      <c r="AX3" s="16" t="s">
        <v>8</v>
      </c>
      <c r="AY3" s="17"/>
      <c r="AZ3" s="17"/>
      <c r="BA3" s="17"/>
      <c r="BB3" s="17"/>
      <c r="BC3" s="17"/>
      <c r="BD3" s="18"/>
      <c r="BE3" s="9"/>
      <c r="BF3" s="9"/>
      <c r="BG3" s="9"/>
      <c r="BH3" s="9"/>
      <c r="BI3" s="9"/>
      <c r="BJ3" s="9"/>
    </row>
    <row r="5" spans="2:64" ht="21" customHeight="1" thickBot="1" x14ac:dyDescent="0.3">
      <c r="D5" s="23" t="s">
        <v>0</v>
      </c>
      <c r="E5" s="23"/>
      <c r="G5" s="19" t="s">
        <v>19</v>
      </c>
      <c r="H5" s="19"/>
      <c r="K5" s="23" t="s">
        <v>1</v>
      </c>
      <c r="L5" s="23"/>
      <c r="N5" s="19" t="s">
        <v>19</v>
      </c>
      <c r="O5" s="19"/>
      <c r="AS5" s="19" t="s">
        <v>3</v>
      </c>
      <c r="AT5" s="19"/>
      <c r="AV5" s="3" t="s">
        <v>10</v>
      </c>
      <c r="AW5" s="8"/>
      <c r="AX5" s="3" t="s">
        <v>11</v>
      </c>
      <c r="AY5" s="8"/>
      <c r="AZ5" s="3" t="s">
        <v>12</v>
      </c>
      <c r="BA5" s="8"/>
      <c r="BB5" s="3" t="s">
        <v>13</v>
      </c>
      <c r="BC5" s="8"/>
      <c r="BD5" s="3" t="s">
        <v>14</v>
      </c>
      <c r="BE5" s="8"/>
      <c r="BF5" s="3" t="s">
        <v>15</v>
      </c>
      <c r="BG5" s="8"/>
      <c r="BH5" s="3" t="s">
        <v>16</v>
      </c>
      <c r="BI5" s="8"/>
      <c r="BJ5" s="3" t="s">
        <v>17</v>
      </c>
    </row>
    <row r="6" spans="2:64" x14ac:dyDescent="0.25">
      <c r="G6" s="2"/>
      <c r="H6" s="2"/>
    </row>
    <row r="7" spans="2:64" x14ac:dyDescent="0.25">
      <c r="AS7" s="20" t="s">
        <v>4</v>
      </c>
      <c r="AT7" s="20"/>
      <c r="AV7" s="8">
        <v>0</v>
      </c>
      <c r="AW7" s="8"/>
      <c r="AX7" s="8">
        <v>0.5</v>
      </c>
      <c r="AY7" s="8"/>
      <c r="AZ7" s="10">
        <v>0.70699999999999996</v>
      </c>
      <c r="BA7" s="8"/>
      <c r="BB7" s="8">
        <v>0.86599999999999999</v>
      </c>
      <c r="BC7" s="8"/>
      <c r="BD7" s="8">
        <v>1</v>
      </c>
      <c r="BE7" s="8"/>
      <c r="BF7" s="8">
        <v>0</v>
      </c>
      <c r="BG7" s="8"/>
      <c r="BH7" s="8">
        <v>-1</v>
      </c>
      <c r="BI7" s="8"/>
      <c r="BJ7" s="8">
        <v>0</v>
      </c>
    </row>
    <row r="8" spans="2:64" x14ac:dyDescent="0.25">
      <c r="D8" s="14" t="str">
        <f>IF(OR(G5= "Exponentiation",G5="Factorial"), "Enter number", "Enter first number")</f>
        <v>Enter first number</v>
      </c>
      <c r="E8" s="14"/>
      <c r="G8" s="22">
        <v>0</v>
      </c>
      <c r="H8" s="22"/>
      <c r="K8" s="14" t="b">
        <f>IF(N5="Degree to Radian","Angle (Degree)",IF(N5="Radian to Degree","Angle (Radian)",IF(N5="Sine","Sin (θ rads)",IF(N5="Cosine","Cos (θ rads)",IF(N5="Tangent","Tan (θ rads)",IF(N5="Inverse Sine","asin (θ rads)",IF(N5="Inverse Cosine","acos (θ rads)",IF(N5="Inverse Tangent","atan (θ rads)",IF(N5="Hyperbolic Sine","Sinh (θ rads)",IF(N5="Hyperbolic Cosine","Cosh (θ rads)",IF(N5="Hyperbolic Tangent","Tanh (θ rads)")))))))))))</f>
        <v>0</v>
      </c>
      <c r="L8" s="14"/>
      <c r="N8" s="22">
        <v>0</v>
      </c>
      <c r="O8" s="22"/>
      <c r="AS8" s="21" t="s">
        <v>5</v>
      </c>
      <c r="AT8" s="21"/>
      <c r="AV8" s="13">
        <v>1</v>
      </c>
      <c r="AW8" s="8"/>
      <c r="AX8" s="13">
        <v>0.86599999999999999</v>
      </c>
      <c r="AY8" s="8"/>
      <c r="AZ8" s="13">
        <v>0.70699999999999996</v>
      </c>
      <c r="BA8" s="8"/>
      <c r="BB8" s="13">
        <v>0.5</v>
      </c>
      <c r="BC8" s="8"/>
      <c r="BD8" s="13">
        <v>0</v>
      </c>
      <c r="BE8" s="8"/>
      <c r="BF8" s="13">
        <v>-1</v>
      </c>
      <c r="BG8" s="8"/>
      <c r="BH8" s="13">
        <v>0</v>
      </c>
      <c r="BI8" s="8"/>
      <c r="BJ8" s="13">
        <v>1</v>
      </c>
    </row>
    <row r="9" spans="2:64" ht="7.5" customHeight="1" x14ac:dyDescent="0.25">
      <c r="D9" s="4"/>
      <c r="E9" s="4"/>
      <c r="AS9" s="21"/>
      <c r="AT9" s="21"/>
      <c r="AV9" s="13"/>
      <c r="AW9" s="8"/>
      <c r="AX9" s="13"/>
      <c r="AY9" s="8"/>
      <c r="AZ9" s="13"/>
      <c r="BA9" s="8"/>
      <c r="BB9" s="13"/>
      <c r="BC9" s="8"/>
      <c r="BD9" s="13"/>
      <c r="BE9" s="8"/>
      <c r="BF9" s="13"/>
      <c r="BG9" s="8"/>
      <c r="BH9" s="13"/>
      <c r="BI9" s="8"/>
      <c r="BJ9" s="13"/>
    </row>
    <row r="10" spans="2:64" x14ac:dyDescent="0.25">
      <c r="D10" s="14" t="str">
        <f>IF(G5="Factorial","Result",IF(G5="Exponentiation","Enter power",IF(NOT(G5="Exponentiation"),"Enter second number",)))</f>
        <v>Enter second number</v>
      </c>
      <c r="E10" s="14"/>
      <c r="G10" s="22">
        <v>0</v>
      </c>
      <c r="H10" s="22"/>
      <c r="K10" s="14" t="b">
        <f>IF(K8="Angle (Degree)","Angle (Radian)",IF(K8="Angle (Radian)","Angle (Degree)",IF(OR(N5="Sine",N5="Cosine",N5="Tangent",N5="Inverse Sine",N5="Inverse Cosine", N5="Inverse Tangent", N5="Hyperbolic Sine",N5="Hyperbolic Cosine",N5="Hyperbolic Tangent"),"Result (rads)")))</f>
        <v>0</v>
      </c>
      <c r="L10" s="14"/>
      <c r="N10" s="15" t="b">
        <f>IFERROR(IF(K10="Angle (Radian)",RADIANS(N8),IF(K10="Angle (Degree)",DEGREES(N8),IF(N5="Sine",SIN(N8),IF(N5="Cosine",COS(N8),IF(N5="Tangent",TAN(N8),IF(N5="Inverse Sine",ASIN(N8),IF(N5="Inverse Cosine",ACOS(N8),IF(N5="Inverse Tangent",ATAN(N8),IF(N5="Hyperbolic Sine",SINH(N8),IF(N5="Hyperbolic Cosine",COSH(N8),IF(N5="Hyperbolic Tangent",TANH(N8)))))))))))),"Invalid Input!")</f>
        <v>0</v>
      </c>
      <c r="O10" s="15"/>
      <c r="AS10" s="20" t="s">
        <v>6</v>
      </c>
      <c r="AT10" s="20"/>
      <c r="AV10" s="8">
        <v>0</v>
      </c>
      <c r="AW10" s="8"/>
      <c r="AX10" s="8">
        <v>0.57699999999999996</v>
      </c>
      <c r="AY10" s="8"/>
      <c r="AZ10" s="8">
        <v>1</v>
      </c>
      <c r="BA10" s="8"/>
      <c r="BB10" s="8">
        <v>1.732</v>
      </c>
      <c r="BC10" s="8"/>
      <c r="BD10" s="11" t="s">
        <v>7</v>
      </c>
      <c r="BE10" s="8"/>
      <c r="BF10" s="8">
        <v>0</v>
      </c>
      <c r="BG10" s="8"/>
      <c r="BH10" s="8" t="s">
        <v>7</v>
      </c>
      <c r="BI10" s="8"/>
      <c r="BJ10" s="8">
        <v>0</v>
      </c>
      <c r="BL10" s="5"/>
    </row>
    <row r="11" spans="2:64" ht="7.5" customHeight="1" x14ac:dyDescent="0.25">
      <c r="AS11" s="9"/>
      <c r="AT11" s="9"/>
    </row>
    <row r="12" spans="2:64" x14ac:dyDescent="0.25">
      <c r="D12" s="14" t="s">
        <v>2</v>
      </c>
      <c r="E12" s="14"/>
      <c r="G12" s="22" t="b">
        <f>IFERROR(IF(AND(OR(G5="Division",G5="Remainder"),G10=0),"Math Error!",IF(G5="Addition",G8+G10,IF(G5="Subtraction",G8-G10,IF(G5="Multiplication",G8*G10,IF(G5="Division",G8/G10,IF(G5="Remainder",MOD(G8,G10),IF(G5="Exponentiation",G8^G10))))))), "Invalid Input!")</f>
        <v>0</v>
      </c>
      <c r="H12" s="22"/>
      <c r="BK12" s="6"/>
      <c r="BL12" s="5"/>
    </row>
    <row r="13" spans="2:64" x14ac:dyDescent="0.25">
      <c r="K13" s="12" t="s">
        <v>9</v>
      </c>
      <c r="L13" s="12"/>
      <c r="M13" s="12"/>
      <c r="N13" s="12"/>
      <c r="O13" s="12"/>
      <c r="AX13" s="12" t="s">
        <v>18</v>
      </c>
      <c r="AY13" s="12"/>
      <c r="AZ13" s="12"/>
      <c r="BA13" s="12"/>
      <c r="BB13" s="12"/>
      <c r="BC13" s="12"/>
      <c r="BD13" s="12"/>
      <c r="BK13" s="7"/>
    </row>
    <row r="16" spans="2:64" x14ac:dyDescent="0.25">
      <c r="B16" s="24" t="str">
        <f>IF(G12="Math Error!","   Mathematics doesn’t allow division by zero as it is undefined.",IF(AND(OR(G8=0,G10=0),G5="Multiplication"),"Multiplication with zero returns zero.",""))</f>
        <v/>
      </c>
      <c r="C16" s="24"/>
      <c r="D16" s="24"/>
      <c r="E16" s="24"/>
      <c r="F16" s="24"/>
      <c r="G16" s="24"/>
      <c r="H16" s="24"/>
      <c r="K16" s="25" t="str">
        <f>IF(OR(N5="Inverse Sine",N5="Inverse Cosine"),"Please note that inverse sine and inverse cosine work with values between -1 and 1.", "")</f>
        <v/>
      </c>
      <c r="L16" s="25"/>
      <c r="M16" s="25"/>
      <c r="N16" s="25"/>
      <c r="O16" s="25"/>
      <c r="P16" s="25"/>
      <c r="Q16" s="25"/>
      <c r="R16" s="25"/>
    </row>
    <row r="18" spans="12:12" x14ac:dyDescent="0.25">
      <c r="L18" s="7"/>
    </row>
  </sheetData>
  <mergeCells count="31">
    <mergeCell ref="B16:H16"/>
    <mergeCell ref="D10:E10"/>
    <mergeCell ref="G10:H10"/>
    <mergeCell ref="D12:E12"/>
    <mergeCell ref="G12:H12"/>
    <mergeCell ref="K13:O13"/>
    <mergeCell ref="K16:R16"/>
    <mergeCell ref="D5:E5"/>
    <mergeCell ref="K5:L5"/>
    <mergeCell ref="D8:E8"/>
    <mergeCell ref="G8:H8"/>
    <mergeCell ref="K8:L8"/>
    <mergeCell ref="AS5:AT5"/>
    <mergeCell ref="AS7:AT7"/>
    <mergeCell ref="AS10:AT10"/>
    <mergeCell ref="AS8:AT9"/>
    <mergeCell ref="G5:H5"/>
    <mergeCell ref="N5:O5"/>
    <mergeCell ref="N8:O8"/>
    <mergeCell ref="AX3:BD3"/>
    <mergeCell ref="AV8:AV9"/>
    <mergeCell ref="AX8:AX9"/>
    <mergeCell ref="AZ8:AZ9"/>
    <mergeCell ref="BB8:BB9"/>
    <mergeCell ref="BD8:BD9"/>
    <mergeCell ref="AX13:BD13"/>
    <mergeCell ref="BJ8:BJ9"/>
    <mergeCell ref="BH8:BH9"/>
    <mergeCell ref="BF8:BF9"/>
    <mergeCell ref="K10:L10"/>
    <mergeCell ref="N10:O10"/>
  </mergeCells>
  <conditionalFormatting sqref="D8:H12">
    <cfRule type="expression" dxfId="2" priority="8">
      <formula>$G$5="Select Operation"</formula>
    </cfRule>
  </conditionalFormatting>
  <conditionalFormatting sqref="G12:H12">
    <cfRule type="expression" dxfId="1" priority="7">
      <formula>$G$12="Math Error!"</formula>
    </cfRule>
  </conditionalFormatting>
  <conditionalFormatting sqref="K8:O13">
    <cfRule type="expression" dxfId="0" priority="1">
      <formula>$N$5="Select Operation"</formula>
    </cfRule>
  </conditionalFormatting>
  <dataValidations count="3">
    <dataValidation type="list" allowBlank="1" showInputMessage="1" showErrorMessage="1" sqref="G5:H5">
      <formula1>"Select Operation, Addition, Subtraction, Multiplication, Division, Remainder, Exponentiation"</formula1>
    </dataValidation>
    <dataValidation type="list" allowBlank="1" showInputMessage="1" showErrorMessage="1" sqref="N5:O5">
      <formula1>"Select Operation, Degree to Radian, Radian to Degree, Sine, Cosine, Tangent, Inverse Sine, Inverse Cosine, Inverse Tangent, Hyperbolic Sine, Hyperbolic Cosine, Hyperbolic Tangent"</formula1>
    </dataValidation>
    <dataValidation type="decimal" allowBlank="1" showInputMessage="1" showErrorMessage="1" errorTitle="Wrong Input!" error="Please enter only numeric values." sqref="G8:H8 G10:H10 N8:O8">
      <formula1>-9.99999999999999E+29</formula1>
      <formula2>9.99999999999999E+30</formula2>
    </dataValidation>
  </dataValidations>
  <hyperlinks>
    <hyperlink ref="AX13:BD13" location="Sheet1!A1" display="Go back to Calculator?"/>
    <hyperlink ref="K13:O13" location="Sheet1!BM3" display="Got confused? Please check Table of Angles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Rafeeq</dc:creator>
  <cp:lastModifiedBy>Sam Ssh</cp:lastModifiedBy>
  <dcterms:created xsi:type="dcterms:W3CDTF">2026-05-01T18:29:02Z</dcterms:created>
  <dcterms:modified xsi:type="dcterms:W3CDTF">2026-06-09T18:01:08Z</dcterms:modified>
</cp:coreProperties>
</file>